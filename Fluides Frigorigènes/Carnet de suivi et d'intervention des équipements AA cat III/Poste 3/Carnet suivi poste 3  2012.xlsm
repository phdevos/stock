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B194" i="63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41"/>
  <c r="L141"/>
  <c r="M140"/>
  <c r="L140"/>
  <c r="M139"/>
  <c r="L139"/>
  <c r="M138"/>
  <c r="L138"/>
  <c r="M137"/>
  <c r="L137"/>
  <c r="K137"/>
  <c r="K171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K4"/>
  <c r="L34"/>
  <c r="K164"/>
  <c r="K169"/>
  <c r="K197" s="1"/>
  <c r="E365"/>
  <c r="L364"/>
  <c r="M364"/>
  <c r="K198" l="1"/>
  <c r="K6" s="1"/>
  <c r="K34"/>
  <c r="K3"/>
  <c r="L37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<sst xmlns="http://schemas.openxmlformats.org/spreadsheetml/2006/main" count="6295" uniqueCount="467">
  <si>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</si>
  <si>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</si>
  <si>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</si>
  <si>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</si>
  <si>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</si>
  <si>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</si>
  <si>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</si>
  <si>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</si>
  <si>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</si>
  <si>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</si>
  <si>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</si>
  <si>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</si>
  <si>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</si>
  <si>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</si>
  <si>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</si>
  <si>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</si>
  <si>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</si>
  <si>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</si>
  <si>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</si>
  <si>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</si>
  <si>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</si>
  <si>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</si>
  <si>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</si>
  <si>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</si>
  <si>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</si>
  <si>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</si>
  <si>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</si>
  <si>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</si>
  <si>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</si>
  <si>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</si>
  <si>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</si>
  <si>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</si>
  <si>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</si>
  <si>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</si>
  <si>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</si>
  <si>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</si>
  <si>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</si>
  <si>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</si>
  <si>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</si>
  <si>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</si>
  <si>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</si>
  <si>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</si>
  <si>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</si>
  <si>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</si>
  <si>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</si>
  <si>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</si>
  <si>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</si>
  <si>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</si>
  <si>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</si>
  <si>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</si>
  <si>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</si>
  <si>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</si>
  <si>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</si>
  <si>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</si>
  <si>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</si>
  <si>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</si>
  <si>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</si>
  <si>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</si>
  <si>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</si>
  <si>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</si>
  <si>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</si>
  <si>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</si>
  <si>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</si>
  <si>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</si>
  <si>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</si>
  <si>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</si>
  <si>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</si>
  <si>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</si>
  <si>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</si>
  <si>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</si>
  <si>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</si>
  <si>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</si>
  <si>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</si>
  <si>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</si>
  <si>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</si>
  <si>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</si>
  <si>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</si>
  <si>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</si>
  <si>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</si>
  <si>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</si>
  <si>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</si>
  <si>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</si>
  <si>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</si>
  <si>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</si>
  <si>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</si>
  <si>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</si>
  <si>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</si>
  <si>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</si>
  <si>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</si>
  <si>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</si>
  <si>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</si>
  <si>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</si>
  <si>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</si>
  <si>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</si>
  <si>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</si>
  <si>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</si>
  <si>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</si>
  <si>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</si>
  <si>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</si>
  <si>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</si>
  <si>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</si>
  <si>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</si>
  <si>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</si>
  <si>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</si>
  <si>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</si>
  <si>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</si>
  <si>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</si>
  <si>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</si>
  <si>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</si>
  <si>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</si>
  <si>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</si>
  <si>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</si>
  <si>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</si>
  <si>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</si>
  <si>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</si>
  <si>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</si>
  <si>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</si>
  <si>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</si>
  <si>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</si>
  <si>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</si>
  <si>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</si>
  <si>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</si>
  <si>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</si>
  <si>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</si>
  <si>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</si>
  <si>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</si>
  <si>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</si>
  <si>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</si>
  <si>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</si>
  <si>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</si>
  <si>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</si>
  <si>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</si>
  <si>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</si>
  <si>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</si>
  <si>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</si>
  <si>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</si>
  <si>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</si>
  <si>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</si>
  <si>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</si>
  <si>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</si>
  <si>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</si>
  <si>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</si>
  <si>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</si>
  <si>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</si>
  <si>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</si>
  <si>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</si>
  <si>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</si>
  <si>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</si>
  <si>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</si>
  <si>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</si>
  <si>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</si>
  <si>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</si>
  <si>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</si>
  <si>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</si>
  <si>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</si>
  <si>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</si>
  <si>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</si>
  <si>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</si>
  <si>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</si>
  <si>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</si>
  <si>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</si>
  <si>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</si>
  <si>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</si>
  <si>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</si>
  <si>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</si>
  <si>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</si>
  <si>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</si>
  <si>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</si>
  <si>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</si>
  <si>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</si>
  <si>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</si>
  <si>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</si>
  <si>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</si>
  <si>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</si>
  <si>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</si>
  <si>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</si>
  <si>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</si>
  <si>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</si>
  <si>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</si>
  <si>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</si>
  <si>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</si>
  <si>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</si>
  <si>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</si>
  <si>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</si>
  <si>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</si>
  <si>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</si>
  <si>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</si>
  <si>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</si>
  <si>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</si>
  <si>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</si>
  <si>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</si>
  <si>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</si>
  <si>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</si>
  <si>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</si>
  <si>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</si>
  <si>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</si>
  <si>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</si>
  <si>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</si>
  <si>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</si>
  <si>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</si>
  <si>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</si>
  <si>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</si>
  <si>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</si>
  <si>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</si>
  <si>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</si>
  <si>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</si>
  <si>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</si>
  <si>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</si>
  <si>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</si>
  <si>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</si>
  <si>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</si>
  <si>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</si>
  <si>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</si>
  <si>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</si>
  <si>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</si>
  <si>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</si>
  <si>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</si>
  <si>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</si>
  <si>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</si>
  <si>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</si>
  <si>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</si>
  <si>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</si>
  <si>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</si>
  <si>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</si>
  <si>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</si>
  <si>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</si>
  <si>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</si>
  <si>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</si>
  <si>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</si>
  <si>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</si>
  <si>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</si>
  <si>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</si>
  <si>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</si>
  <si>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</si>
  <si>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</si>
  <si>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</si>
  <si>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</si>
  <si>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</si>
  <si>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</si>
  <si>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</si>
  <si>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</si>
  <si>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</si>
  <si>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</si>
  <si>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</si>
  <si>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</si>
  <si>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</si>
  <si>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</si>
  <si>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</si>
  <si>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</si>
  <si>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</si>
  <si>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</si>
  <si>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</si>
  <si>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</si>
  <si>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</si>
  <si>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</si>
  <si>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</si>
  <si>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</si>
  <si>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</si>
  <si>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</si>
  <si>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</si>
  <si>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</si>
  <si>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</si>
  <si>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</si>
  <si>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</si>
  <si>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</si>
  <si>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</si>
  <si>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</si>
  <si>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</si>
  <si>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</si>
  <si>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</si>
  <si>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</si>
  <si>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</si>
  <si>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</si>
  <si>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</si>
  <si>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</si>
  <si>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</si>
  <si>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</si>
  <si>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</si>
  <si>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</si>
  <si>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</si>
  <si>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</si>
  <si>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</si>
  <si>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</si>
  <si>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</si>
  <si>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</si>
  <si>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</si>
  <si>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</si>
  <si>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</si>
  <si>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</si>
  <si>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</si>
  <si>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</si>
  <si>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</si>
  <si>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</si>
  <si>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</si>
  <si>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</si>
  <si>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</si>
  <si>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</si>
  <si>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</si>
  <si>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</si>
  <si>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</si>
  <si>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</si>
  <si>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</si>
  <si>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</si>
  <si>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</si>
  <si>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</si>
  <si>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</si>
  <si>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</si>
  <si>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</si>
  <si>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</si>
  <si>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</si>
  <si>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</si>
  <si>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</si>
  <si>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</si>
  <si>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</si>
  <si>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</si>
  <si>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</si>
  <si>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</si>
  <si>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</si>
  <si>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</si>
  <si>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</si>
  <si>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</si>
  <si>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</si>
  <si>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</si>
  <si>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</si>
  <si>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</si>
  <si>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</si>
  <si>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</si>
  <si>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</si>
  <si>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</si>
  <si>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</si>
  <si>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</si>
  <si>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</si>
  <si>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</si>
  <si>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</si>
  <si>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</si>
  <si>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</si>
  <si>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</si>
  <si>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</si>
  <si>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</si>
  <si>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</si>
  <si>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</si>
  <si>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</si>
  <si>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</si>
  <si>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</si>
  <si>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</si>
  <si>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</si>
  <si>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</si>
  <si>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</si>
  <si>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</si>
  <si>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</si>
  <si>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</si>
  <si>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</si>
  <si>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</si>
  <si>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</si>
  <si>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</si>
  <si>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</si>
  <si>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</si>
  <si>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</si>
  <si>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</si>
  <si>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</si>
  <si>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</si>
  <si>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</si>
  <si>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</si>
  <si>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</si>
  <si>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</si>
  <si>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</si>
  <si>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</si>
  <si>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</si>
  <si>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</si>
  <si>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</si>
  <si>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</si>
  <si>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</si>
  <si>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</si>
  <si>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</si>
  <si>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</si>
  <si>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</si>
  <si>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</si>
  <si>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</si>
  <si>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</si>
  <si>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</si>
  <si>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</si>
  <si>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</si>
  <si>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</si>
  <si>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</si>
  <si>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</si>
  <si>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</si>
  <si>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</si>
  <si>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</si>
  <si>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</si>
  <si>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</si>
  <si>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</si>
  <si>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</si>
  <si>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</si>
  <si>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</si>
  <si>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</si>
  <si>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</si>
  <si>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</si>
  <si>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</si>
  <si>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</si>
  <si>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</si>
  <si>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</si>
  <si>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</si>
  <si>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</si>
  <si>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</si>
  <si>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</si>
  <si>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</si>
  <si>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</si>
  <si>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</si>
  <si>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</si>
  <si>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</si>
  <si>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</si>
  <si>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</si>
  <si>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</si>
  <si>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</si>
  <si>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</si>
  <si>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</si>
  <si>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</si>
  <si>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</si>
  <si>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</si>
  <si>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</si>
  <si>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</si>
  <si>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</si>
  <si>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</si>
  <si>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</si>
  <si>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</si>
  <si>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</si>
  <si>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</si>
  <si>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</si>
  <si>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</si>
  <si>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</si>
  <si>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</si>
  <si>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</si>
  <si>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</si>
  <si>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</si>
  <si>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</si>
  <si>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</si>
  <si>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</si>
  <si>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</si>
  <si>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</si>
  <si>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</si>
  <si>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</t>
  </si>
  <si>
    <t>CARLY</t>
  </si>
  <si>
    <t>Réservoir liquide horizontal 3/4 rotal 1/4</t>
  </si>
  <si>
    <t>RLHCY 15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</si>
  <si>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</si>
  <si>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</si>
  <si>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</si>
  <si>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</si>
  <si>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</si>
  <si>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</si>
  <si>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</si>
  <si>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</si>
  <si>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</si>
  <si>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</si>
  <si>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</si>
  <si>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Date de la dernière vérification : 19/08/2010</t>
  </si>
  <si>
    <t>1h00</t>
  </si>
  <si>
    <t>59010/GRN109/0111</t>
  </si>
  <si>
    <t>AA poste3</t>
  </si>
  <si>
    <t>C82817</t>
  </si>
  <si>
    <t>N°AA Poste 3 /</t>
  </si>
  <si>
    <t>59010/GRN 109/0111</t>
  </si>
  <si>
    <t>59010/GRN109/0025</t>
  </si>
  <si>
    <t>LEBACQ</t>
  </si>
  <si>
    <t>Mickaël</t>
  </si>
  <si>
    <t>TIF</t>
  </si>
  <si>
    <t>9030E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</si>
</sst>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3711616"/>
        <c:axId val="56632064"/>
      </c:lineChart>
      <c:catAx>
        <c:axId val="537116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6632064"/>
        <c:crosses val="autoZero"/>
        <c:auto val="1"/>
        <c:lblAlgn val="ctr"/>
        <c:lblOffset val="100"/>
        <c:tickLblSkip val="1"/>
        <c:tickMarkSkip val="1"/>
      </c:catAx>
      <c:valAx>
        <c:axId val="5663206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371161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36" zoomScale="120" zoomScaleSheetLayoutView="100" zoomScalePageLayoutView="120" workbookViewId="0">
      <selection activeCell="L1" sqref="L1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9" t="s">
        <v>76</v>
      </c>
      <c r="H2" s="480" t="s">
        <v>77</v>
      </c>
      <c r="I2" s="480"/>
      <c r="J2" s="481" t="str">
        <f>$C$51</f>
        <v>R404A</v>
      </c>
      <c r="K2" s="481"/>
      <c r="L2" s="481"/>
      <c r="M2" s="481"/>
    </row>
    <row r="3" spans="1:14" ht="20.100000000000001" customHeight="1" thickBot="1">
      <c r="A3" s="333"/>
      <c r="B3" s="333"/>
      <c r="C3" s="333"/>
      <c r="D3" s="333"/>
      <c r="E3" s="333"/>
      <c r="F3" s="52"/>
      <c r="G3" s="479"/>
      <c r="H3" s="474" t="s">
        <v>78</v>
      </c>
      <c r="I3" s="474"/>
      <c r="J3" s="55"/>
      <c r="K3" s="475">
        <f>$K$197</f>
        <v>0</v>
      </c>
      <c r="L3" s="475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9"/>
      <c r="H4" s="474" t="s">
        <v>79</v>
      </c>
      <c r="I4" s="474"/>
      <c r="J4" s="55"/>
      <c r="K4" s="475">
        <f>$L$197</f>
        <v>0</v>
      </c>
      <c r="L4" s="475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9"/>
      <c r="H5" s="474" t="s">
        <v>80</v>
      </c>
      <c r="I5" s="474"/>
      <c r="J5" s="55"/>
      <c r="K5" s="475">
        <f>$M$197</f>
        <v>0</v>
      </c>
      <c r="L5" s="475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9"/>
      <c r="H6" s="474" t="s">
        <v>81</v>
      </c>
      <c r="I6" s="474"/>
      <c r="J6" s="55"/>
      <c r="K6" s="475">
        <f>$K$198</f>
        <v>0</v>
      </c>
      <c r="L6" s="475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9"/>
      <c r="H7" s="474" t="s">
        <v>82</v>
      </c>
      <c r="I7" s="474"/>
      <c r="J7" s="55"/>
      <c r="K7" s="476">
        <f>$K$343</f>
        <v>0</v>
      </c>
      <c r="L7" s="476"/>
      <c r="M7" s="476"/>
    </row>
    <row r="8" spans="1:14" ht="20.100000000000001" customHeight="1" thickBot="1">
      <c r="A8" s="333"/>
      <c r="B8" s="333"/>
      <c r="C8" s="333"/>
      <c r="D8" s="333"/>
      <c r="E8" s="333"/>
      <c r="F8" s="52"/>
      <c r="G8" s="479"/>
      <c r="H8" s="477" t="s">
        <v>83</v>
      </c>
      <c r="I8" s="477"/>
      <c r="J8" s="57"/>
      <c r="K8" s="478" t="e">
        <f>$L$376</f>
        <v>#DIV/0!</v>
      </c>
      <c r="L8" s="478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70" t="s">
        <v>85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61"/>
    </row>
    <row r="12" spans="1:14" ht="18.75" customHeight="1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</row>
    <row r="13" spans="1:14" ht="42.95" customHeight="1">
      <c r="A13" s="471" t="s">
        <v>86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72" t="s">
        <v>87</v>
      </c>
      <c r="B15" s="472"/>
      <c r="C15" s="472"/>
      <c r="D15" s="472"/>
      <c r="E15" s="472"/>
      <c r="F15" s="472"/>
      <c r="G15" s="62"/>
      <c r="H15" s="473">
        <v>2012</v>
      </c>
      <c r="I15" s="473"/>
      <c r="J15" s="473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5" t="s">
        <v>88</v>
      </c>
      <c r="B17" s="465"/>
      <c r="C17" s="465"/>
      <c r="D17" s="465"/>
      <c r="E17" s="465"/>
      <c r="F17" s="465"/>
      <c r="G17" s="466" t="s">
        <v>457</v>
      </c>
      <c r="H17" s="466"/>
      <c r="I17" s="466"/>
      <c r="J17" s="466"/>
      <c r="K17" s="466"/>
      <c r="L17" s="466"/>
      <c r="M17" s="466"/>
    </row>
    <row r="18" spans="1:13" ht="9.9499999999999993" customHeight="1">
      <c r="A18" s="467"/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  <c r="M18" s="467"/>
    </row>
    <row r="19" spans="1:13" ht="30" customHeight="1">
      <c r="A19" s="457" t="s">
        <v>89</v>
      </c>
      <c r="B19" s="457"/>
      <c r="C19" s="457"/>
      <c r="D19" s="457"/>
      <c r="E19" s="457"/>
      <c r="F19" s="457"/>
      <c r="G19" s="468" t="s">
        <v>458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</row>
    <row r="21" spans="1:13" ht="15" customHeight="1">
      <c r="A21" s="457" t="s">
        <v>90</v>
      </c>
      <c r="B21" s="457"/>
      <c r="C21" s="457"/>
      <c r="D21" s="457"/>
      <c r="E21" s="457"/>
      <c r="F21" s="457"/>
      <c r="G21" s="385"/>
      <c r="H21" s="460" t="s">
        <v>91</v>
      </c>
      <c r="I21" s="460"/>
      <c r="J21" s="64"/>
      <c r="K21" s="461"/>
      <c r="L21" s="461"/>
      <c r="M21" s="461"/>
    </row>
    <row r="22" spans="1:13" ht="20.25" customHeight="1">
      <c r="A22" s="457"/>
      <c r="B22" s="457"/>
      <c r="C22" s="457"/>
      <c r="D22" s="457"/>
      <c r="E22" s="457"/>
      <c r="F22" s="457"/>
      <c r="G22" s="385"/>
      <c r="H22" s="462">
        <v>40515</v>
      </c>
      <c r="I22" s="462"/>
      <c r="J22" s="65"/>
      <c r="K22" s="464"/>
      <c r="L22" s="464"/>
      <c r="M22" s="464"/>
    </row>
    <row r="23" spans="1:13" ht="9.9499999999999993" customHeight="1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</row>
    <row r="24" spans="1:13" ht="20.25" customHeight="1">
      <c r="A24" s="457" t="s">
        <v>92</v>
      </c>
      <c r="B24" s="457"/>
      <c r="C24" s="457"/>
      <c r="D24" s="457"/>
      <c r="E24" s="457"/>
      <c r="F24" s="457"/>
      <c r="G24" s="457"/>
      <c r="H24" s="457"/>
      <c r="I24" s="458">
        <v>0.5</v>
      </c>
      <c r="J24" s="458"/>
      <c r="K24" s="66" t="s">
        <v>12</v>
      </c>
      <c r="L24" s="66"/>
      <c r="M24" s="67"/>
    </row>
    <row r="25" spans="1:13" ht="9.9499999999999993" customHeight="1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</row>
    <row r="26" spans="1:13" ht="20.25" customHeight="1">
      <c r="A26" s="457" t="s">
        <v>93</v>
      </c>
      <c r="B26" s="457"/>
      <c r="C26" s="457"/>
      <c r="D26" s="457"/>
      <c r="E26" s="457"/>
      <c r="F26" s="457"/>
      <c r="G26" s="459"/>
      <c r="H26" s="460" t="s">
        <v>91</v>
      </c>
      <c r="I26" s="460"/>
      <c r="J26" s="64"/>
      <c r="K26" s="461"/>
      <c r="L26" s="461"/>
      <c r="M26" s="461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62"/>
      <c r="I27" s="462"/>
      <c r="J27" s="65"/>
      <c r="K27" s="463"/>
      <c r="L27" s="463"/>
      <c r="M27" s="463"/>
    </row>
    <row r="28" spans="1:13" ht="9.9499999999999993" customHeight="1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</row>
    <row r="29" spans="1:13" ht="20.25" customHeight="1" thickBot="1">
      <c r="A29" s="450" t="s">
        <v>94</v>
      </c>
      <c r="B29" s="450"/>
      <c r="C29" s="450"/>
      <c r="D29" s="450"/>
      <c r="E29" s="450"/>
      <c r="F29" s="450"/>
      <c r="G29" s="450"/>
      <c r="H29" s="450"/>
      <c r="I29" s="451"/>
      <c r="J29" s="451"/>
      <c r="K29" s="68" t="s">
        <v>12</v>
      </c>
      <c r="L29" s="68"/>
      <c r="M29" s="69"/>
    </row>
    <row r="30" spans="1:13" ht="15" customHeight="1" thickBot="1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</row>
    <row r="31" spans="1:13" ht="15" customHeight="1" thickBot="1">
      <c r="A31" s="453" t="s">
        <v>95</v>
      </c>
      <c r="B31" s="454" t="s">
        <v>96</v>
      </c>
      <c r="C31" s="454"/>
      <c r="D31" s="454"/>
      <c r="E31" s="454"/>
      <c r="F31" s="454"/>
      <c r="G31" s="454"/>
      <c r="H31" s="454"/>
      <c r="I31" s="455"/>
      <c r="J31" s="455"/>
      <c r="K31" s="456" t="s">
        <v>97</v>
      </c>
      <c r="L31" s="456"/>
      <c r="M31" s="456"/>
    </row>
    <row r="32" spans="1:13" ht="12" customHeight="1" thickBot="1">
      <c r="A32" s="453"/>
      <c r="B32" s="446"/>
      <c r="C32" s="446"/>
      <c r="D32" s="446"/>
      <c r="E32" s="446"/>
      <c r="F32" s="446"/>
      <c r="G32" s="446"/>
      <c r="H32" s="446"/>
      <c r="I32" s="446"/>
      <c r="J32" s="446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3"/>
      <c r="B33" s="446" t="s">
        <v>101</v>
      </c>
      <c r="C33" s="446"/>
      <c r="D33" s="446"/>
      <c r="E33" s="446"/>
      <c r="F33" s="446"/>
      <c r="G33" s="446"/>
      <c r="H33" s="446"/>
      <c r="I33" s="446"/>
      <c r="J33" s="446"/>
      <c r="K33" s="73"/>
      <c r="L33" s="74"/>
      <c r="M33" s="75"/>
    </row>
    <row r="34" spans="1:13" ht="15" customHeight="1" thickBot="1">
      <c r="A34" s="453"/>
      <c r="B34" s="446" t="s">
        <v>102</v>
      </c>
      <c r="C34" s="446"/>
      <c r="D34" s="446"/>
      <c r="E34" s="446"/>
      <c r="F34" s="446"/>
      <c r="G34" s="446"/>
      <c r="H34" s="446"/>
      <c r="I34" s="446"/>
      <c r="J34" s="446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453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</row>
    <row r="36" spans="1:13" ht="15" customHeight="1" thickBot="1">
      <c r="A36" s="453"/>
      <c r="B36" s="448" t="s">
        <v>103</v>
      </c>
      <c r="C36" s="448"/>
      <c r="D36" s="448"/>
      <c r="E36" s="448"/>
      <c r="F36" s="448"/>
      <c r="G36" s="448"/>
      <c r="H36" s="448"/>
      <c r="I36" s="448"/>
      <c r="J36" s="448"/>
      <c r="K36" s="448"/>
      <c r="L36" s="79"/>
      <c r="M36" s="67" t="s">
        <v>12</v>
      </c>
    </row>
    <row r="37" spans="1:13" ht="15" customHeight="1" thickBot="1">
      <c r="A37" s="453"/>
      <c r="B37" s="448" t="s">
        <v>104</v>
      </c>
      <c r="C37" s="448"/>
      <c r="D37" s="448"/>
      <c r="E37" s="448"/>
      <c r="F37" s="448"/>
      <c r="G37" s="448"/>
      <c r="H37" s="448"/>
      <c r="I37" s="448"/>
      <c r="J37" s="448"/>
      <c r="K37" s="448"/>
      <c r="L37" s="80">
        <f>$K$198</f>
        <v>0</v>
      </c>
      <c r="M37" s="67" t="s">
        <v>12</v>
      </c>
    </row>
    <row r="38" spans="1:13" ht="15" customHeight="1" thickBot="1">
      <c r="A38" s="453"/>
      <c r="B38" s="448" t="s">
        <v>105</v>
      </c>
      <c r="C38" s="448"/>
      <c r="D38" s="448"/>
      <c r="E38" s="448"/>
      <c r="F38" s="448"/>
      <c r="G38" s="448"/>
      <c r="H38" s="448"/>
      <c r="I38" s="448"/>
      <c r="J38" s="448"/>
      <c r="K38" s="448"/>
      <c r="L38" s="80">
        <f>SUM(L36:L37)</f>
        <v>0</v>
      </c>
      <c r="M38" s="67" t="s">
        <v>12</v>
      </c>
    </row>
    <row r="39" spans="1:13" ht="11.1" customHeight="1" thickBot="1">
      <c r="A39" s="453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</row>
    <row r="40" spans="1:13" ht="15" customHeight="1" thickBot="1">
      <c r="A40" s="453"/>
      <c r="B40" s="442" t="s">
        <v>106</v>
      </c>
      <c r="C40" s="442"/>
      <c r="D40" s="442"/>
      <c r="E40" s="442"/>
      <c r="F40" s="442"/>
      <c r="G40" s="442"/>
      <c r="H40" s="442"/>
      <c r="I40" s="442"/>
      <c r="J40" s="442"/>
      <c r="K40" s="442"/>
      <c r="L40" s="81"/>
      <c r="M40" s="67" t="s">
        <v>84</v>
      </c>
    </row>
    <row r="41" spans="1:13" ht="15" customHeight="1" thickBot="1">
      <c r="A41" s="453"/>
      <c r="B41" s="442" t="s">
        <v>107</v>
      </c>
      <c r="C41" s="442"/>
      <c r="D41" s="442"/>
      <c r="E41" s="442"/>
      <c r="F41" s="442"/>
      <c r="G41" s="442"/>
      <c r="H41" s="442"/>
      <c r="I41" s="442"/>
      <c r="J41" s="442"/>
      <c r="K41" s="442"/>
      <c r="L41" s="82" t="e">
        <f>$L$376</f>
        <v>#DIV/0!</v>
      </c>
      <c r="M41" s="67" t="s">
        <v>84</v>
      </c>
    </row>
    <row r="42" spans="1:13" ht="15" customHeight="1" thickBot="1">
      <c r="A42" s="453"/>
      <c r="B42" s="443" t="s">
        <v>108</v>
      </c>
      <c r="C42" s="443"/>
      <c r="D42" s="443"/>
      <c r="E42" s="443"/>
      <c r="F42" s="443"/>
      <c r="G42" s="443"/>
      <c r="H42" s="443"/>
      <c r="I42" s="443"/>
      <c r="J42" s="443"/>
      <c r="K42" s="443"/>
      <c r="L42" s="83">
        <f>$M$374</f>
        <v>0</v>
      </c>
      <c r="M42" s="69" t="s">
        <v>84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37" t="s">
        <v>109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88</v>
      </c>
      <c r="B45" s="425"/>
      <c r="C45" s="425"/>
      <c r="D45" s="445" t="str">
        <f>$G$19</f>
        <v>AA poste3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110</v>
      </c>
      <c r="B46" s="432"/>
      <c r="C46" s="432"/>
      <c r="D46" s="441">
        <f>$H$22</f>
        <v>40515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8" t="s">
        <v>111</v>
      </c>
      <c r="B47" s="428"/>
      <c r="C47" s="428"/>
      <c r="D47" s="430" t="s">
        <v>112</v>
      </c>
      <c r="E47" s="430"/>
      <c r="F47" s="430"/>
      <c r="G47" s="430"/>
      <c r="H47" s="430"/>
      <c r="I47" s="430"/>
      <c r="J47" s="430"/>
      <c r="K47" s="430"/>
      <c r="L47" s="430"/>
      <c r="M47" s="430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20" t="s">
        <v>113</v>
      </c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</row>
    <row r="50" spans="1:13" ht="18">
      <c r="A50" s="84"/>
      <c r="B50" s="85"/>
      <c r="C50" s="438"/>
      <c r="D50" s="438"/>
      <c r="E50" s="438"/>
      <c r="F50" s="438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5" t="s">
        <v>114</v>
      </c>
      <c r="B51" s="425"/>
      <c r="C51" s="439" t="s">
        <v>418</v>
      </c>
      <c r="D51" s="439"/>
      <c r="E51" s="439"/>
      <c r="F51" s="439"/>
      <c r="G51" s="425" t="s">
        <v>116</v>
      </c>
      <c r="H51" s="425"/>
      <c r="I51" s="427"/>
      <c r="J51" s="427"/>
      <c r="K51" s="427"/>
      <c r="L51" s="427"/>
      <c r="M51" s="427"/>
    </row>
    <row r="52" spans="1:13" s="87" customFormat="1" ht="18" customHeight="1">
      <c r="A52" s="432" t="s">
        <v>117</v>
      </c>
      <c r="B52" s="432"/>
      <c r="C52" s="440">
        <f>$I$24</f>
        <v>0.5</v>
      </c>
      <c r="D52" s="440"/>
      <c r="E52" s="440"/>
      <c r="F52" s="440"/>
      <c r="G52" s="432" t="s">
        <v>118</v>
      </c>
      <c r="H52" s="432"/>
      <c r="I52" s="435"/>
      <c r="J52" s="435"/>
      <c r="K52" s="435"/>
      <c r="L52" s="435"/>
      <c r="M52" s="435"/>
    </row>
    <row r="53" spans="1:13" s="87" customFormat="1" ht="18" customHeight="1">
      <c r="A53" s="428" t="s">
        <v>119</v>
      </c>
      <c r="B53" s="428"/>
      <c r="C53" s="429" t="s">
        <v>423</v>
      </c>
      <c r="D53" s="429"/>
      <c r="E53" s="429"/>
      <c r="F53" s="429"/>
      <c r="G53" s="428" t="s">
        <v>120</v>
      </c>
      <c r="H53" s="428"/>
      <c r="I53" s="430"/>
      <c r="J53" s="430"/>
      <c r="K53" s="430"/>
      <c r="L53" s="430"/>
      <c r="M53" s="430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7" t="s">
        <v>121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7" customFormat="1" ht="18" customHeight="1">
      <c r="A56" s="425" t="s">
        <v>122</v>
      </c>
      <c r="B56" s="425"/>
      <c r="C56" s="425"/>
      <c r="D56" s="427"/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7" customFormat="1" ht="18" customHeight="1">
      <c r="A57" s="432" t="s">
        <v>123</v>
      </c>
      <c r="B57" s="432"/>
      <c r="C57" s="432"/>
      <c r="D57" s="435"/>
      <c r="E57" s="435"/>
      <c r="F57" s="435"/>
      <c r="G57" s="435"/>
      <c r="H57" s="435"/>
      <c r="I57" s="435"/>
      <c r="J57" s="435"/>
      <c r="K57" s="435"/>
      <c r="L57" s="435"/>
      <c r="M57" s="435"/>
    </row>
    <row r="58" spans="1:13" s="87" customFormat="1" ht="18" customHeight="1">
      <c r="A58" s="432" t="s">
        <v>124</v>
      </c>
      <c r="B58" s="432"/>
      <c r="C58" s="432"/>
      <c r="D58" s="435"/>
      <c r="E58" s="435"/>
      <c r="F58" s="435"/>
      <c r="G58" s="435"/>
      <c r="H58" s="435"/>
      <c r="I58" s="435"/>
      <c r="J58" s="435"/>
      <c r="K58" s="435"/>
      <c r="L58" s="435"/>
      <c r="M58" s="435"/>
    </row>
    <row r="59" spans="1:13" s="87" customFormat="1" ht="18" customHeight="1">
      <c r="A59" s="432" t="s">
        <v>125</v>
      </c>
      <c r="B59" s="432"/>
      <c r="C59" s="432"/>
      <c r="D59" s="435"/>
      <c r="E59" s="435"/>
      <c r="F59" s="435"/>
      <c r="G59" s="435"/>
      <c r="H59" s="435"/>
      <c r="I59" s="435"/>
      <c r="J59" s="435"/>
      <c r="K59" s="435"/>
      <c r="L59" s="435"/>
      <c r="M59" s="435"/>
    </row>
    <row r="60" spans="1:13" s="87" customFormat="1" ht="18" customHeight="1">
      <c r="A60" s="428" t="s">
        <v>126</v>
      </c>
      <c r="B60" s="428"/>
      <c r="C60" s="428"/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20" t="s">
        <v>127</v>
      </c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</row>
    <row r="63" spans="1:13" s="87" customFormat="1" ht="18" customHeight="1">
      <c r="A63" s="425" t="s">
        <v>128</v>
      </c>
      <c r="B63" s="425"/>
      <c r="C63" s="426"/>
      <c r="D63" s="426"/>
      <c r="E63" s="426"/>
      <c r="F63" s="426"/>
      <c r="G63" s="436" t="s">
        <v>128</v>
      </c>
      <c r="H63" s="436"/>
      <c r="I63" s="427"/>
      <c r="J63" s="427"/>
      <c r="K63" s="427"/>
      <c r="L63" s="427"/>
      <c r="M63" s="427"/>
    </row>
    <row r="64" spans="1:13" s="87" customFormat="1" ht="18" customHeight="1">
      <c r="A64" s="432" t="s">
        <v>129</v>
      </c>
      <c r="B64" s="432"/>
      <c r="C64" s="433"/>
      <c r="D64" s="433"/>
      <c r="E64" s="433"/>
      <c r="F64" s="433"/>
      <c r="G64" s="434" t="s">
        <v>130</v>
      </c>
      <c r="H64" s="434"/>
      <c r="I64" s="435"/>
      <c r="J64" s="435"/>
      <c r="K64" s="435"/>
      <c r="L64" s="435"/>
      <c r="M64" s="435"/>
    </row>
    <row r="65" spans="1:14" s="87" customFormat="1" ht="18" customHeight="1">
      <c r="A65" s="432" t="s">
        <v>131</v>
      </c>
      <c r="B65" s="432"/>
      <c r="C65" s="433"/>
      <c r="D65" s="433"/>
      <c r="E65" s="433"/>
      <c r="F65" s="433"/>
      <c r="G65" s="434" t="s">
        <v>132</v>
      </c>
      <c r="H65" s="434"/>
      <c r="I65" s="435"/>
      <c r="J65" s="435"/>
      <c r="K65" s="435"/>
      <c r="L65" s="435"/>
      <c r="M65" s="435"/>
    </row>
    <row r="66" spans="1:14" s="87" customFormat="1" ht="18" customHeight="1">
      <c r="A66" s="432" t="s">
        <v>133</v>
      </c>
      <c r="B66" s="432"/>
      <c r="C66" s="433"/>
      <c r="D66" s="433"/>
      <c r="E66" s="433"/>
      <c r="F66" s="433"/>
      <c r="G66" s="434" t="s">
        <v>134</v>
      </c>
      <c r="H66" s="434"/>
      <c r="I66" s="435"/>
      <c r="J66" s="435"/>
      <c r="K66" s="435"/>
      <c r="L66" s="435"/>
      <c r="M66" s="435"/>
    </row>
    <row r="67" spans="1:14" s="87" customFormat="1" ht="18" customHeight="1">
      <c r="A67" s="428" t="s">
        <v>135</v>
      </c>
      <c r="B67" s="428"/>
      <c r="C67" s="429"/>
      <c r="D67" s="429"/>
      <c r="E67" s="429"/>
      <c r="F67" s="429"/>
      <c r="G67" s="431" t="s">
        <v>136</v>
      </c>
      <c r="H67" s="431"/>
      <c r="I67" s="430"/>
      <c r="J67" s="430"/>
      <c r="K67" s="430"/>
      <c r="L67" s="430"/>
      <c r="M67" s="430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20" t="s">
        <v>137</v>
      </c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</row>
    <row r="70" spans="1:14" s="87" customFormat="1" ht="18" customHeight="1">
      <c r="A70" s="425" t="s">
        <v>138</v>
      </c>
      <c r="B70" s="425"/>
      <c r="C70" s="426"/>
      <c r="D70" s="426"/>
      <c r="E70" s="426"/>
      <c r="F70" s="426"/>
      <c r="G70" s="425" t="s">
        <v>139</v>
      </c>
      <c r="H70" s="425"/>
      <c r="I70" s="427"/>
      <c r="J70" s="427"/>
      <c r="K70" s="427"/>
      <c r="L70" s="427"/>
      <c r="M70" s="427"/>
    </row>
    <row r="71" spans="1:14" s="87" customFormat="1" ht="18" customHeight="1">
      <c r="A71" s="428" t="s">
        <v>140</v>
      </c>
      <c r="B71" s="428"/>
      <c r="C71" s="429"/>
      <c r="D71" s="429"/>
      <c r="E71" s="429"/>
      <c r="F71" s="429"/>
      <c r="G71" s="428" t="s">
        <v>141</v>
      </c>
      <c r="H71" s="428"/>
      <c r="I71" s="430"/>
      <c r="J71" s="430"/>
      <c r="K71" s="430"/>
      <c r="L71" s="430"/>
      <c r="M71" s="430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20" t="s">
        <v>142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</row>
    <row r="74" spans="1:14">
      <c r="A74" s="421" t="s">
        <v>440</v>
      </c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</row>
    <row r="75" spans="1:14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</row>
    <row r="76" spans="1:14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</row>
    <row r="77" spans="1:14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</row>
    <row r="78" spans="1:14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</row>
    <row r="79" spans="1:14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</row>
    <row r="80" spans="1:14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</row>
    <row r="81" spans="1:13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</row>
    <row r="82" spans="1:13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</row>
    <row r="83" spans="1:13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</row>
    <row r="84" spans="1:13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</row>
    <row r="85" spans="1:13" ht="90" customHeight="1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22" t="s">
        <v>143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</row>
    <row r="88" spans="1:13">
      <c r="A88" s="423" t="s">
        <v>144</v>
      </c>
      <c r="B88" s="423"/>
      <c r="C88" s="423"/>
      <c r="D88" s="423"/>
      <c r="E88" s="423"/>
      <c r="F88" s="423"/>
      <c r="G88" s="424" t="s">
        <v>145</v>
      </c>
      <c r="H88" s="424"/>
      <c r="I88" s="424"/>
      <c r="J88" s="424"/>
      <c r="K88" s="424"/>
      <c r="L88" s="424"/>
      <c r="M88" s="424"/>
    </row>
    <row r="89" spans="1:13" ht="33.75" customHeight="1" thickBot="1">
      <c r="A89" s="415" t="s">
        <v>424</v>
      </c>
      <c r="B89" s="415"/>
      <c r="C89" s="415"/>
      <c r="D89" s="415"/>
      <c r="E89" s="415"/>
      <c r="F89" s="415"/>
      <c r="G89" s="416">
        <v>40143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2"/>
      <c r="M90" s="392"/>
    </row>
    <row r="91" spans="1:13" ht="15.95" customHeight="1">
      <c r="A91" s="418" t="s">
        <v>146</v>
      </c>
      <c r="B91" s="418"/>
      <c r="C91" s="418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9" t="s">
        <v>441</v>
      </c>
      <c r="C92" s="419"/>
      <c r="D92" s="407" t="s">
        <v>148</v>
      </c>
      <c r="E92" s="407"/>
      <c r="F92" s="407"/>
      <c r="G92" s="407"/>
      <c r="H92" s="91" t="s">
        <v>149</v>
      </c>
      <c r="I92" s="91" t="s">
        <v>150</v>
      </c>
      <c r="J92" s="408" t="s">
        <v>151</v>
      </c>
      <c r="K92" s="408"/>
      <c r="L92" s="408"/>
      <c r="M92" s="408"/>
    </row>
    <row r="93" spans="1:13" ht="15.95" customHeight="1">
      <c r="A93" s="92"/>
      <c r="B93" s="419"/>
      <c r="C93" s="419"/>
      <c r="D93" s="407" t="s">
        <v>152</v>
      </c>
      <c r="E93" s="407"/>
      <c r="F93" s="407"/>
      <c r="G93" s="407"/>
      <c r="H93" s="93"/>
      <c r="I93" s="93"/>
      <c r="J93" s="408"/>
      <c r="K93" s="408"/>
      <c r="L93" s="408"/>
      <c r="M93" s="408"/>
    </row>
    <row r="94" spans="1:13" ht="15.95" customHeight="1">
      <c r="A94" s="92" t="s">
        <v>59</v>
      </c>
      <c r="B94" s="414" t="s">
        <v>442</v>
      </c>
      <c r="C94" s="414"/>
      <c r="D94" s="407" t="s">
        <v>153</v>
      </c>
      <c r="E94" s="407"/>
      <c r="F94" s="407"/>
      <c r="G94" s="407"/>
      <c r="H94" s="93"/>
      <c r="I94" s="93"/>
      <c r="J94" s="408"/>
      <c r="K94" s="408"/>
      <c r="L94" s="408"/>
      <c r="M94" s="408"/>
    </row>
    <row r="95" spans="1:13" ht="15.95" customHeight="1">
      <c r="A95" s="92"/>
      <c r="B95" s="414"/>
      <c r="C95" s="414"/>
      <c r="D95" s="407" t="s">
        <v>419</v>
      </c>
      <c r="E95" s="407"/>
      <c r="F95" s="407"/>
      <c r="G95" s="407"/>
      <c r="H95" s="93"/>
      <c r="I95" s="93"/>
      <c r="J95" s="408"/>
      <c r="K95" s="408"/>
      <c r="L95" s="408"/>
      <c r="M95" s="408"/>
    </row>
    <row r="96" spans="1:13" ht="15.95" customHeight="1">
      <c r="A96" s="92" t="s">
        <v>148</v>
      </c>
      <c r="B96" s="414" t="s">
        <v>443</v>
      </c>
      <c r="C96" s="414"/>
      <c r="D96" s="407" t="s">
        <v>154</v>
      </c>
      <c r="E96" s="407"/>
      <c r="F96" s="407"/>
      <c r="G96" s="407"/>
      <c r="H96" s="93"/>
      <c r="I96" s="93"/>
      <c r="J96" s="408"/>
      <c r="K96" s="408"/>
      <c r="L96" s="408"/>
      <c r="M96" s="408"/>
    </row>
    <row r="97" spans="1:13" ht="15.95" customHeight="1">
      <c r="A97" s="92"/>
      <c r="B97" s="414"/>
      <c r="C97" s="414"/>
      <c r="D97" s="407" t="s">
        <v>155</v>
      </c>
      <c r="E97" s="407"/>
      <c r="F97" s="407"/>
      <c r="G97" s="407"/>
      <c r="H97" s="93" t="s">
        <v>445</v>
      </c>
      <c r="I97" s="93" t="s">
        <v>444</v>
      </c>
      <c r="J97" s="408" t="s">
        <v>425</v>
      </c>
      <c r="K97" s="408"/>
      <c r="L97" s="408"/>
      <c r="M97" s="408"/>
    </row>
    <row r="98" spans="1:13" ht="15.95" customHeight="1">
      <c r="A98" s="406" t="s">
        <v>156</v>
      </c>
      <c r="B98" s="406"/>
      <c r="C98" s="228">
        <v>2</v>
      </c>
      <c r="D98" s="407" t="s">
        <v>157</v>
      </c>
      <c r="E98" s="407"/>
      <c r="F98" s="407"/>
      <c r="G98" s="407"/>
      <c r="H98" s="93"/>
      <c r="I98" s="93"/>
      <c r="J98" s="408"/>
      <c r="K98" s="408"/>
      <c r="L98" s="408"/>
      <c r="M98" s="408"/>
    </row>
    <row r="99" spans="1:13" ht="15.95" customHeight="1">
      <c r="A99" s="399" t="s">
        <v>158</v>
      </c>
      <c r="B99" s="399"/>
      <c r="C99" s="399"/>
      <c r="D99" s="409" t="s">
        <v>159</v>
      </c>
      <c r="E99" s="409"/>
      <c r="F99" s="409"/>
      <c r="G99" s="409"/>
      <c r="H99" s="410" t="s">
        <v>160</v>
      </c>
      <c r="I99" s="410"/>
      <c r="J99" s="410"/>
      <c r="K99" s="410"/>
      <c r="L99" s="410"/>
      <c r="M99" s="410"/>
    </row>
    <row r="100" spans="1:13" ht="15.95" customHeight="1" thickBot="1">
      <c r="A100" s="411">
        <v>2008</v>
      </c>
      <c r="B100" s="411"/>
      <c r="C100" s="411"/>
      <c r="D100" s="412"/>
      <c r="E100" s="412"/>
      <c r="F100" s="412"/>
      <c r="G100" s="412"/>
      <c r="H100" s="410"/>
      <c r="I100" s="410"/>
      <c r="J100" s="410"/>
      <c r="K100" s="410"/>
      <c r="L100" s="410"/>
      <c r="M100" s="410"/>
    </row>
    <row r="101" spans="1:13" ht="15.95" customHeight="1" thickBot="1">
      <c r="A101" s="94" t="s">
        <v>161</v>
      </c>
      <c r="B101" s="413" t="s">
        <v>459</v>
      </c>
      <c r="C101" s="413"/>
      <c r="D101" s="412"/>
      <c r="E101" s="412"/>
      <c r="F101" s="412"/>
      <c r="G101" s="412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92"/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</row>
    <row r="103" spans="1:13" ht="24.75" customHeight="1">
      <c r="A103" s="404" t="s">
        <v>162</v>
      </c>
      <c r="B103" s="404"/>
      <c r="C103" s="404"/>
      <c r="D103" s="95" t="s">
        <v>163</v>
      </c>
      <c r="E103" s="398" t="s">
        <v>164</v>
      </c>
      <c r="F103" s="398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5" t="s">
        <v>166</v>
      </c>
      <c r="B104" s="405"/>
      <c r="C104" s="405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5" t="s">
        <v>167</v>
      </c>
      <c r="B105" s="405"/>
      <c r="C105" s="405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5" t="s">
        <v>168</v>
      </c>
      <c r="B106" s="405"/>
      <c r="C106" s="405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5" t="s">
        <v>169</v>
      </c>
      <c r="B107" s="405"/>
      <c r="C107" s="405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3" t="s">
        <v>170</v>
      </c>
      <c r="B108" s="393"/>
      <c r="C108" s="393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3" t="s">
        <v>171</v>
      </c>
      <c r="B109" s="393"/>
      <c r="C109" s="393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3"/>
      <c r="B110" s="393"/>
      <c r="C110" s="393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5" t="s">
        <v>172</v>
      </c>
      <c r="B111" s="405"/>
      <c r="C111" s="405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4" t="s">
        <v>173</v>
      </c>
      <c r="B112" s="394"/>
      <c r="C112" s="394"/>
      <c r="D112" s="395" t="s">
        <v>429</v>
      </c>
      <c r="E112" s="395"/>
      <c r="F112" s="395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4"/>
      <c r="B113" s="394"/>
      <c r="C113" s="394"/>
      <c r="D113" s="395"/>
      <c r="E113" s="395"/>
      <c r="F113" s="395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92"/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2"/>
      <c r="M114" s="392"/>
    </row>
    <row r="115" spans="1:13" ht="23.25" customHeight="1">
      <c r="A115" s="404" t="s">
        <v>174</v>
      </c>
      <c r="B115" s="404"/>
      <c r="C115" s="404"/>
      <c r="D115" s="95" t="s">
        <v>163</v>
      </c>
      <c r="E115" s="398" t="s">
        <v>164</v>
      </c>
      <c r="F115" s="398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9" t="s">
        <v>175</v>
      </c>
      <c r="B116" s="399"/>
      <c r="C116" s="399"/>
      <c r="D116" s="400" t="s">
        <v>429</v>
      </c>
      <c r="E116" s="401"/>
      <c r="F116" s="401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402" t="s">
        <v>176</v>
      </c>
      <c r="B117" s="402"/>
      <c r="C117" s="402"/>
      <c r="D117" s="400"/>
      <c r="E117" s="401"/>
      <c r="F117" s="401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3" t="s">
        <v>177</v>
      </c>
      <c r="B118" s="403"/>
      <c r="C118" s="403"/>
      <c r="D118" s="400"/>
      <c r="E118" s="401"/>
      <c r="F118" s="401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6" t="s">
        <v>178</v>
      </c>
      <c r="B119" s="396"/>
      <c r="C119" s="396"/>
      <c r="D119" s="97"/>
      <c r="E119" s="395"/>
      <c r="F119" s="395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92"/>
      <c r="B120" s="392"/>
      <c r="C120" s="392"/>
      <c r="D120" s="392"/>
      <c r="E120" s="392"/>
      <c r="F120" s="392"/>
      <c r="G120" s="392"/>
      <c r="H120" s="392"/>
      <c r="I120" s="392"/>
      <c r="J120" s="392"/>
      <c r="K120" s="392"/>
      <c r="L120" s="392"/>
      <c r="M120" s="392"/>
    </row>
    <row r="121" spans="1:13" ht="27.75" customHeight="1">
      <c r="A121" s="397" t="s">
        <v>179</v>
      </c>
      <c r="B121" s="397"/>
      <c r="C121" s="397"/>
      <c r="D121" s="95" t="s">
        <v>163</v>
      </c>
      <c r="E121" s="398" t="s">
        <v>164</v>
      </c>
      <c r="F121" s="398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3" t="s">
        <v>180</v>
      </c>
      <c r="B122" s="393"/>
      <c r="C122" s="393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3"/>
      <c r="B123" s="393"/>
      <c r="C123" s="393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4" t="s">
        <v>181</v>
      </c>
      <c r="B124" s="394"/>
      <c r="C124" s="394"/>
      <c r="D124" s="395" t="s">
        <v>428</v>
      </c>
      <c r="E124" s="395"/>
      <c r="F124" s="395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4"/>
      <c r="B125" s="394"/>
      <c r="C125" s="394"/>
      <c r="D125" s="395"/>
      <c r="E125" s="395"/>
      <c r="F125" s="395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92"/>
      <c r="B126" s="392"/>
      <c r="C126" s="392"/>
      <c r="D126" s="392"/>
      <c r="E126" s="392"/>
      <c r="F126" s="392"/>
      <c r="G126" s="392"/>
      <c r="H126" s="392"/>
      <c r="I126" s="392"/>
      <c r="J126" s="392"/>
      <c r="K126" s="392"/>
      <c r="L126" s="392"/>
      <c r="M126" s="392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2012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90" t="s">
        <v>191</v>
      </c>
      <c r="B135" s="391"/>
      <c r="C135" s="391"/>
      <c r="D135" s="391"/>
      <c r="E135" s="391"/>
      <c r="F135" s="391"/>
      <c r="G135" s="391"/>
      <c r="H135" s="391"/>
      <c r="I135" s="391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388" t="str">
        <f>'Fiche N° 1'!C51</f>
        <v>LEBACQ</v>
      </c>
      <c r="C136" s="386"/>
      <c r="D136" s="106" t="str">
        <f>$G$19</f>
        <v>AA poste3</v>
      </c>
      <c r="E136" s="107" t="s">
        <v>192</v>
      </c>
      <c r="F136" s="108">
        <v>1</v>
      </c>
      <c r="G136" s="387" t="s">
        <v>446</v>
      </c>
      <c r="H136" s="387"/>
      <c r="I136" s="387"/>
      <c r="J136" s="109"/>
      <c r="K136" s="110">
        <f>'Fiche N° 1'!F31</f>
        <v>0</v>
      </c>
      <c r="L136" s="110">
        <v>0</v>
      </c>
      <c r="M136" s="110">
        <v>0</v>
      </c>
    </row>
    <row r="137" spans="1:13" s="111" customFormat="1" ht="21.95" customHeight="1">
      <c r="A137" s="267">
        <f>'Fiche N° 2'!C53</f>
        <v>0</v>
      </c>
      <c r="B137" s="388">
        <f>'Fiche N° 2'!C51</f>
        <v>0</v>
      </c>
      <c r="C137" s="386"/>
      <c r="D137" s="106" t="str">
        <f t="shared" ref="D137:D160" si="0">$G$19</f>
        <v>AA poste3</v>
      </c>
      <c r="E137" s="107" t="s">
        <v>192</v>
      </c>
      <c r="F137" s="108">
        <f t="shared" ref="F137:F160" si="1">SUM(F136,1)</f>
        <v>2</v>
      </c>
      <c r="G137" s="387" t="str">
        <f>'Fiche N° 2'!E14</f>
        <v>Démantellement (récupération)</v>
      </c>
      <c r="H137" s="387"/>
      <c r="I137" s="387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88">
        <f>'Fiche N° 3'!C51</f>
        <v>0</v>
      </c>
      <c r="C138" s="386"/>
      <c r="D138" s="106" t="str">
        <f t="shared" si="0"/>
        <v>AA poste3</v>
      </c>
      <c r="E138" s="107" t="s">
        <v>192</v>
      </c>
      <c r="F138" s="108">
        <f t="shared" si="1"/>
        <v>3</v>
      </c>
      <c r="G138" s="387" t="str">
        <f>'Fiche N° 3'!E14</f>
        <v>Démantellement (récupération)</v>
      </c>
      <c r="H138" s="387"/>
      <c r="I138" s="387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88">
        <f>'Fiche N° 7'!$C$51</f>
        <v>0</v>
      </c>
      <c r="C139" s="386"/>
      <c r="D139" s="106" t="str">
        <f t="shared" si="0"/>
        <v>AA poste3</v>
      </c>
      <c r="E139" s="107" t="s">
        <v>192</v>
      </c>
      <c r="F139" s="108">
        <f t="shared" si="1"/>
        <v>4</v>
      </c>
      <c r="G139" s="387" t="str">
        <f>'Fiche N° 4'!E14</f>
        <v>Démantellement (récupération)</v>
      </c>
      <c r="H139" s="387"/>
      <c r="I139" s="387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88">
        <f>'Fiche N° 7'!$C$51</f>
        <v>0</v>
      </c>
      <c r="C140" s="386"/>
      <c r="D140" s="106" t="str">
        <f t="shared" si="0"/>
        <v>AA poste3</v>
      </c>
      <c r="E140" s="107" t="s">
        <v>192</v>
      </c>
      <c r="F140" s="108">
        <f t="shared" si="1"/>
        <v>5</v>
      </c>
      <c r="G140" s="387" t="str">
        <f>'Fiche N° 5'!E14</f>
        <v>Démantellement (récupération)</v>
      </c>
      <c r="H140" s="387"/>
      <c r="I140" s="387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88">
        <f>'Fiche N° 6'!C51</f>
        <v>0</v>
      </c>
      <c r="C141" s="386"/>
      <c r="D141" s="106" t="str">
        <f t="shared" si="0"/>
        <v>AA poste3</v>
      </c>
      <c r="E141" s="107" t="s">
        <v>192</v>
      </c>
      <c r="F141" s="108">
        <f t="shared" si="1"/>
        <v>6</v>
      </c>
      <c r="G141" s="387" t="str">
        <f>'Fiche N° 6'!E14</f>
        <v>Démantellement (récupération)</v>
      </c>
      <c r="H141" s="387"/>
      <c r="I141" s="387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88">
        <f>'Fiche N° 7'!$C$51</f>
        <v>0</v>
      </c>
      <c r="C142" s="386"/>
      <c r="D142" s="106" t="str">
        <f t="shared" si="0"/>
        <v>AA poste3</v>
      </c>
      <c r="E142" s="107" t="s">
        <v>192</v>
      </c>
      <c r="F142" s="108">
        <f t="shared" si="1"/>
        <v>7</v>
      </c>
      <c r="G142" s="387" t="str">
        <f>'Fiche N° 7'!$E$14</f>
        <v>Démantellement (récupération)</v>
      </c>
      <c r="H142" s="387"/>
      <c r="I142" s="387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88">
        <f>'Fiche N° 8'!$C$51</f>
        <v>0</v>
      </c>
      <c r="C143" s="386"/>
      <c r="D143" s="106" t="str">
        <f t="shared" si="0"/>
        <v>AA poste3</v>
      </c>
      <c r="E143" s="107" t="s">
        <v>192</v>
      </c>
      <c r="F143" s="108">
        <f t="shared" si="1"/>
        <v>8</v>
      </c>
      <c r="G143" s="387" t="str">
        <f>'Fiche N° 8'!$E$14</f>
        <v>Démantellement (récupération)</v>
      </c>
      <c r="H143" s="387"/>
      <c r="I143" s="387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88">
        <f>'Fiche N° 9'!$C$51</f>
        <v>0</v>
      </c>
      <c r="C144" s="386"/>
      <c r="D144" s="106" t="str">
        <f t="shared" si="0"/>
        <v>AA poste3</v>
      </c>
      <c r="E144" s="107" t="s">
        <v>192</v>
      </c>
      <c r="F144" s="108">
        <f t="shared" si="1"/>
        <v>9</v>
      </c>
      <c r="G144" s="387" t="str">
        <f>'Fiche N° 9'!$E$14</f>
        <v>Démantellement (récupération)</v>
      </c>
      <c r="H144" s="387"/>
      <c r="I144" s="387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88">
        <f>'Fiche N° 10'!$C$51</f>
        <v>0</v>
      </c>
      <c r="C145" s="386"/>
      <c r="D145" s="106" t="str">
        <f t="shared" si="0"/>
        <v>AA poste3</v>
      </c>
      <c r="E145" s="107" t="s">
        <v>192</v>
      </c>
      <c r="F145" s="108">
        <f t="shared" si="1"/>
        <v>10</v>
      </c>
      <c r="G145" s="387" t="str">
        <f>'Fiche N° 10'!$E$14</f>
        <v>Démantellement (récupération)</v>
      </c>
      <c r="H145" s="387"/>
      <c r="I145" s="387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88">
        <f>'Fiche N° 11'!$C$51</f>
        <v>0</v>
      </c>
      <c r="C146" s="386"/>
      <c r="D146" s="106" t="str">
        <f t="shared" si="0"/>
        <v>AA poste3</v>
      </c>
      <c r="E146" s="107" t="s">
        <v>192</v>
      </c>
      <c r="F146" s="108">
        <f t="shared" si="1"/>
        <v>11</v>
      </c>
      <c r="G146" s="387" t="str">
        <f>'Fiche N° 11'!$E$14</f>
        <v>Démantellement (récupération)</v>
      </c>
      <c r="H146" s="387"/>
      <c r="I146" s="387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88">
        <f>'Fiche N° 12'!$C$51</f>
        <v>0</v>
      </c>
      <c r="C147" s="386"/>
      <c r="D147" s="106" t="str">
        <f t="shared" si="0"/>
        <v>AA poste3</v>
      </c>
      <c r="E147" s="107" t="s">
        <v>192</v>
      </c>
      <c r="F147" s="108">
        <f t="shared" si="1"/>
        <v>12</v>
      </c>
      <c r="G147" s="387" t="str">
        <f>'Fiche N° 12'!$E$14</f>
        <v>Démantellement (récupération)</v>
      </c>
      <c r="H147" s="387"/>
      <c r="I147" s="387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88">
        <f>'Fiche N° 13'!$C$51</f>
        <v>0</v>
      </c>
      <c r="C148" s="386"/>
      <c r="D148" s="106" t="str">
        <f t="shared" si="0"/>
        <v>AA poste3</v>
      </c>
      <c r="E148" s="107" t="s">
        <v>192</v>
      </c>
      <c r="F148" s="108">
        <f t="shared" si="1"/>
        <v>13</v>
      </c>
      <c r="G148" s="387" t="str">
        <f>'Fiche N° 13'!$E$14</f>
        <v>Démantellement (récupération)</v>
      </c>
      <c r="H148" s="387"/>
      <c r="I148" s="387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88">
        <f>'Fiche N° 14'!$C$51</f>
        <v>0</v>
      </c>
      <c r="C149" s="386"/>
      <c r="D149" s="106" t="str">
        <f t="shared" si="0"/>
        <v>AA poste3</v>
      </c>
      <c r="E149" s="107" t="s">
        <v>192</v>
      </c>
      <c r="F149" s="108">
        <f t="shared" si="1"/>
        <v>14</v>
      </c>
      <c r="G149" s="387" t="str">
        <f>'Fiche N° 14'!$E$14</f>
        <v>Démantellement (récupération)</v>
      </c>
      <c r="H149" s="387"/>
      <c r="I149" s="387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88">
        <f>'Fiche N° 15'!$C$51</f>
        <v>0</v>
      </c>
      <c r="C150" s="386"/>
      <c r="D150" s="106" t="str">
        <f t="shared" si="0"/>
        <v>AA poste3</v>
      </c>
      <c r="E150" s="107" t="s">
        <v>192</v>
      </c>
      <c r="F150" s="108">
        <f t="shared" si="1"/>
        <v>15</v>
      </c>
      <c r="G150" s="387" t="str">
        <f>'Fiche N° 15'!$E$14</f>
        <v>Démantellement (récupération)</v>
      </c>
      <c r="H150" s="387"/>
      <c r="I150" s="387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88">
        <f>'Fiche N° 16'!$C$51</f>
        <v>0</v>
      </c>
      <c r="C151" s="386"/>
      <c r="D151" s="106" t="str">
        <f t="shared" si="0"/>
        <v>AA poste3</v>
      </c>
      <c r="E151" s="107" t="s">
        <v>192</v>
      </c>
      <c r="F151" s="108">
        <f t="shared" si="1"/>
        <v>16</v>
      </c>
      <c r="G151" s="387" t="str">
        <f>'Fiche N° 16'!$E$14</f>
        <v>Démantellement (récupération)</v>
      </c>
      <c r="H151" s="387"/>
      <c r="I151" s="387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88">
        <f>'Fiche N° 17'!$C$51</f>
        <v>0</v>
      </c>
      <c r="C152" s="386"/>
      <c r="D152" s="106" t="str">
        <f t="shared" si="0"/>
        <v>AA poste3</v>
      </c>
      <c r="E152" s="107" t="s">
        <v>192</v>
      </c>
      <c r="F152" s="108">
        <f t="shared" si="1"/>
        <v>17</v>
      </c>
      <c r="G152" s="387" t="str">
        <f>'Fiche N° 17'!$E$14</f>
        <v>Démantellement (récupération)</v>
      </c>
      <c r="H152" s="387"/>
      <c r="I152" s="387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88">
        <f>'Fiche N° 18'!$C$51</f>
        <v>0</v>
      </c>
      <c r="C153" s="386"/>
      <c r="D153" s="106" t="str">
        <f t="shared" si="0"/>
        <v>AA poste3</v>
      </c>
      <c r="E153" s="107" t="s">
        <v>192</v>
      </c>
      <c r="F153" s="108">
        <f t="shared" si="1"/>
        <v>18</v>
      </c>
      <c r="G153" s="387" t="str">
        <f>'Fiche N° 18'!$E$14</f>
        <v>Démantellement (récupération)</v>
      </c>
      <c r="H153" s="387"/>
      <c r="I153" s="387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88">
        <f>'Fiche N° 19'!$C$51</f>
        <v>0</v>
      </c>
      <c r="C154" s="386"/>
      <c r="D154" s="106" t="str">
        <f t="shared" si="0"/>
        <v>AA poste3</v>
      </c>
      <c r="E154" s="107" t="s">
        <v>192</v>
      </c>
      <c r="F154" s="108">
        <f t="shared" si="1"/>
        <v>19</v>
      </c>
      <c r="G154" s="387" t="str">
        <f>'Fiche N° 19'!$E$14</f>
        <v>Démantellement (récupération)</v>
      </c>
      <c r="H154" s="387"/>
      <c r="I154" s="387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88">
        <f>'Fiche N° 20'!$C$51</f>
        <v>0</v>
      </c>
      <c r="C155" s="386"/>
      <c r="D155" s="106" t="str">
        <f t="shared" si="0"/>
        <v>AA poste3</v>
      </c>
      <c r="E155" s="107" t="s">
        <v>192</v>
      </c>
      <c r="F155" s="108">
        <f t="shared" si="1"/>
        <v>20</v>
      </c>
      <c r="G155" s="387" t="str">
        <f>'Fiche N° 20'!$E$14</f>
        <v>Démantellement (récupération)</v>
      </c>
      <c r="H155" s="387"/>
      <c r="I155" s="387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88">
        <f>'Fiche N° 21'!$C$51</f>
        <v>0</v>
      </c>
      <c r="C156" s="386"/>
      <c r="D156" s="106" t="str">
        <f t="shared" si="0"/>
        <v>AA poste3</v>
      </c>
      <c r="E156" s="107" t="s">
        <v>192</v>
      </c>
      <c r="F156" s="108">
        <f t="shared" si="1"/>
        <v>21</v>
      </c>
      <c r="G156" s="387" t="str">
        <f>'Fiche N° 21'!$E$14</f>
        <v>Démantellement (récupération)</v>
      </c>
      <c r="H156" s="387"/>
      <c r="I156" s="387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88">
        <f>'Fiche N° 22'!$C$51</f>
        <v>0</v>
      </c>
      <c r="C157" s="386"/>
      <c r="D157" s="106" t="str">
        <f t="shared" si="0"/>
        <v>AA poste3</v>
      </c>
      <c r="E157" s="107" t="s">
        <v>192</v>
      </c>
      <c r="F157" s="108">
        <f t="shared" si="1"/>
        <v>22</v>
      </c>
      <c r="G157" s="387" t="str">
        <f>'Fiche N° 22'!$E$14</f>
        <v>Démantellement (récupération)</v>
      </c>
      <c r="H157" s="387"/>
      <c r="I157" s="387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88">
        <f>'Fiche N° 23'!$C$51</f>
        <v>0</v>
      </c>
      <c r="C158" s="386"/>
      <c r="D158" s="106" t="str">
        <f t="shared" si="0"/>
        <v>AA poste3</v>
      </c>
      <c r="E158" s="107" t="s">
        <v>192</v>
      </c>
      <c r="F158" s="108">
        <f t="shared" si="1"/>
        <v>23</v>
      </c>
      <c r="G158" s="387" t="str">
        <f>'Fiche N° 23'!$E$14</f>
        <v>Démantellement (récupération)</v>
      </c>
      <c r="H158" s="387"/>
      <c r="I158" s="387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88">
        <f>'Fiche N° 24'!$C$51</f>
        <v>0</v>
      </c>
      <c r="C159" s="386"/>
      <c r="D159" s="106" t="str">
        <f t="shared" si="0"/>
        <v>AA poste3</v>
      </c>
      <c r="E159" s="107" t="s">
        <v>192</v>
      </c>
      <c r="F159" s="108">
        <f t="shared" si="1"/>
        <v>24</v>
      </c>
      <c r="G159" s="387" t="str">
        <f>'Fiche N° 24'!$E$14</f>
        <v>Démantellement (récupération)</v>
      </c>
      <c r="H159" s="387"/>
      <c r="I159" s="387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88">
        <f>'Fiche N° 25'!$C$51</f>
        <v>0</v>
      </c>
      <c r="C160" s="386"/>
      <c r="D160" s="106" t="str">
        <f t="shared" si="0"/>
        <v>AA poste3</v>
      </c>
      <c r="E160" s="107" t="s">
        <v>192</v>
      </c>
      <c r="F160" s="108">
        <f t="shared" si="1"/>
        <v>25</v>
      </c>
      <c r="G160" s="387" t="str">
        <f>'Fiche N° 25'!$E$14</f>
        <v>Démantellement (récupération)</v>
      </c>
      <c r="H160" s="387"/>
      <c r="I160" s="387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9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0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2012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86">
        <f>'Fiche N° 26'!C51</f>
        <v>0</v>
      </c>
      <c r="C170" s="386"/>
      <c r="D170" s="106" t="str">
        <f t="shared" ref="D170:D194" si="2">$G$19</f>
        <v>AA poste3</v>
      </c>
      <c r="E170" s="107" t="s">
        <v>192</v>
      </c>
      <c r="F170" s="108">
        <f>SUM(F160,1)</f>
        <v>26</v>
      </c>
      <c r="G170" s="387" t="str">
        <f>'Fiche N° 26'!E14</f>
        <v>Démantellement (récupération)</v>
      </c>
      <c r="H170" s="387"/>
      <c r="I170" s="387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86">
        <f>'Fiche N° 27'!C51</f>
        <v>0</v>
      </c>
      <c r="C171" s="386"/>
      <c r="D171" s="106" t="str">
        <f t="shared" si="2"/>
        <v>AA poste3</v>
      </c>
      <c r="E171" s="107" t="s">
        <v>192</v>
      </c>
      <c r="F171" s="108">
        <f t="shared" ref="F171:F194" si="3">SUM(F170,1)</f>
        <v>27</v>
      </c>
      <c r="G171" s="387" t="str">
        <f>'Fiche N° 27'!E14</f>
        <v>Démantellement (récupération)</v>
      </c>
      <c r="H171" s="387"/>
      <c r="I171" s="387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86">
        <f>'Fiche N° 28'!C51</f>
        <v>0</v>
      </c>
      <c r="C172" s="386"/>
      <c r="D172" s="106" t="str">
        <f t="shared" si="2"/>
        <v>AA poste3</v>
      </c>
      <c r="E172" s="107" t="s">
        <v>192</v>
      </c>
      <c r="F172" s="108">
        <f t="shared" si="3"/>
        <v>28</v>
      </c>
      <c r="G172" s="387" t="str">
        <f>'Fiche N° 28'!E14</f>
        <v>Démantellement (récupération)</v>
      </c>
      <c r="H172" s="387"/>
      <c r="I172" s="387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86">
        <f>'Fiche N° 29'!C51</f>
        <v>0</v>
      </c>
      <c r="C173" s="386"/>
      <c r="D173" s="106" t="str">
        <f t="shared" si="2"/>
        <v>AA poste3</v>
      </c>
      <c r="E173" s="107" t="s">
        <v>192</v>
      </c>
      <c r="F173" s="108">
        <f t="shared" si="3"/>
        <v>29</v>
      </c>
      <c r="G173" s="387" t="str">
        <f>'Fiche N° 29'!E14</f>
        <v>Démantellement (récupération)</v>
      </c>
      <c r="H173" s="387"/>
      <c r="I173" s="387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86">
        <f>'Fiche N° 30'!C51</f>
        <v>0</v>
      </c>
      <c r="C174" s="386"/>
      <c r="D174" s="106" t="str">
        <f t="shared" si="2"/>
        <v>AA poste3</v>
      </c>
      <c r="E174" s="107" t="s">
        <v>192</v>
      </c>
      <c r="F174" s="108">
        <f t="shared" si="3"/>
        <v>30</v>
      </c>
      <c r="G174" s="387" t="str">
        <f>'Fiche N° 30'!E14</f>
        <v>Démantellement (récupération)</v>
      </c>
      <c r="H174" s="387"/>
      <c r="I174" s="387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86">
        <f>'Fiche N° 31'!C51</f>
        <v>0</v>
      </c>
      <c r="C175" s="386"/>
      <c r="D175" s="106" t="str">
        <f t="shared" si="2"/>
        <v>AA poste3</v>
      </c>
      <c r="E175" s="107" t="s">
        <v>192</v>
      </c>
      <c r="F175" s="108">
        <f t="shared" si="3"/>
        <v>31</v>
      </c>
      <c r="G175" s="387" t="str">
        <f>'Fiche N° 31'!E14</f>
        <v>Démantellement (récupération)</v>
      </c>
      <c r="H175" s="387"/>
      <c r="I175" s="387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86">
        <f>'Fiche N° 32'!C51</f>
        <v>0</v>
      </c>
      <c r="C176" s="386"/>
      <c r="D176" s="106" t="str">
        <f t="shared" si="2"/>
        <v>AA poste3</v>
      </c>
      <c r="E176" s="107" t="s">
        <v>192</v>
      </c>
      <c r="F176" s="108">
        <f t="shared" si="3"/>
        <v>32</v>
      </c>
      <c r="G176" s="387" t="str">
        <f>'Fiche N° 32'!E14</f>
        <v>Démantellement (récupération)</v>
      </c>
      <c r="H176" s="387"/>
      <c r="I176" s="387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86">
        <f>'Fiche N° 33'!C51</f>
        <v>0</v>
      </c>
      <c r="C177" s="386"/>
      <c r="D177" s="106" t="str">
        <f t="shared" si="2"/>
        <v>AA poste3</v>
      </c>
      <c r="E177" s="107" t="s">
        <v>192</v>
      </c>
      <c r="F177" s="108">
        <f t="shared" si="3"/>
        <v>33</v>
      </c>
      <c r="G177" s="387" t="str">
        <f>'Fiche N° 33'!E14</f>
        <v>Démantellement (récupération)</v>
      </c>
      <c r="H177" s="387"/>
      <c r="I177" s="387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86">
        <f>'Fiche N° 34'!C51</f>
        <v>0</v>
      </c>
      <c r="C178" s="386"/>
      <c r="D178" s="106" t="str">
        <f t="shared" si="2"/>
        <v>AA poste3</v>
      </c>
      <c r="E178" s="107" t="s">
        <v>192</v>
      </c>
      <c r="F178" s="108">
        <f t="shared" si="3"/>
        <v>34</v>
      </c>
      <c r="G178" s="387" t="str">
        <f>'Fiche N° 34'!E14</f>
        <v>Démantellement (récupération)</v>
      </c>
      <c r="H178" s="387"/>
      <c r="I178" s="387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86">
        <f>'Fiche N° 35'!C51</f>
        <v>0</v>
      </c>
      <c r="C179" s="386"/>
      <c r="D179" s="106" t="str">
        <f t="shared" si="2"/>
        <v>AA poste3</v>
      </c>
      <c r="E179" s="107" t="s">
        <v>192</v>
      </c>
      <c r="F179" s="108">
        <f t="shared" si="3"/>
        <v>35</v>
      </c>
      <c r="G179" s="387" t="str">
        <f>'Fiche N° 35'!E14</f>
        <v>Démantellement (récupération)</v>
      </c>
      <c r="H179" s="387"/>
      <c r="I179" s="387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86">
        <f>'Fiche N° 36'!C51</f>
        <v>0</v>
      </c>
      <c r="C180" s="386"/>
      <c r="D180" s="106" t="str">
        <f t="shared" si="2"/>
        <v>AA poste3</v>
      </c>
      <c r="E180" s="107" t="s">
        <v>192</v>
      </c>
      <c r="F180" s="108">
        <f t="shared" si="3"/>
        <v>36</v>
      </c>
      <c r="G180" s="387" t="str">
        <f>'Fiche N° 36'!E14</f>
        <v>Démantellement (récupération)</v>
      </c>
      <c r="H180" s="387"/>
      <c r="I180" s="387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86">
        <f>'Fiche N° 37'!C51</f>
        <v>0</v>
      </c>
      <c r="C181" s="386"/>
      <c r="D181" s="106" t="str">
        <f t="shared" si="2"/>
        <v>AA poste3</v>
      </c>
      <c r="E181" s="107" t="s">
        <v>192</v>
      </c>
      <c r="F181" s="108">
        <f t="shared" si="3"/>
        <v>37</v>
      </c>
      <c r="G181" s="387" t="str">
        <f>'Fiche N° 37'!E14</f>
        <v>Démantellement (récupération)</v>
      </c>
      <c r="H181" s="387"/>
      <c r="I181" s="387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86">
        <f>'Fiche N° 38'!C51</f>
        <v>0</v>
      </c>
      <c r="C182" s="386"/>
      <c r="D182" s="106" t="str">
        <f t="shared" si="2"/>
        <v>AA poste3</v>
      </c>
      <c r="E182" s="107" t="s">
        <v>192</v>
      </c>
      <c r="F182" s="108">
        <f t="shared" si="3"/>
        <v>38</v>
      </c>
      <c r="G182" s="387" t="str">
        <f>'Fiche N° 38'!E14</f>
        <v>Démantellement (récupération)</v>
      </c>
      <c r="H182" s="387"/>
      <c r="I182" s="387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86">
        <f>'Fiche N° 39'!C51</f>
        <v>0</v>
      </c>
      <c r="C183" s="386"/>
      <c r="D183" s="106" t="str">
        <f t="shared" si="2"/>
        <v>AA poste3</v>
      </c>
      <c r="E183" s="107" t="s">
        <v>192</v>
      </c>
      <c r="F183" s="108">
        <f t="shared" si="3"/>
        <v>39</v>
      </c>
      <c r="G183" s="387" t="str">
        <f>'Fiche N° 39'!E14</f>
        <v>Démantellement (récupération)</v>
      </c>
      <c r="H183" s="387"/>
      <c r="I183" s="387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86">
        <f>'Fiche N° 40'!C51</f>
        <v>0</v>
      </c>
      <c r="C184" s="386"/>
      <c r="D184" s="106" t="str">
        <f t="shared" si="2"/>
        <v>AA poste3</v>
      </c>
      <c r="E184" s="107" t="s">
        <v>192</v>
      </c>
      <c r="F184" s="108">
        <f t="shared" si="3"/>
        <v>40</v>
      </c>
      <c r="G184" s="387" t="str">
        <f>'Fiche N° 40'!E14</f>
        <v>Démantellement (récupération)</v>
      </c>
      <c r="H184" s="387"/>
      <c r="I184" s="387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86">
        <f>'Fiche N° 41'!C51</f>
        <v>0</v>
      </c>
      <c r="C185" s="386"/>
      <c r="D185" s="106" t="str">
        <f t="shared" si="2"/>
        <v>AA poste3</v>
      </c>
      <c r="E185" s="107" t="s">
        <v>192</v>
      </c>
      <c r="F185" s="108">
        <f t="shared" si="3"/>
        <v>41</v>
      </c>
      <c r="G185" s="387" t="str">
        <f>'Fiche N° 41'!E14</f>
        <v>Démantellement (récupération)</v>
      </c>
      <c r="H185" s="387"/>
      <c r="I185" s="387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86">
        <f>'Fiche N° 42'!C51</f>
        <v>0</v>
      </c>
      <c r="C186" s="386"/>
      <c r="D186" s="106" t="str">
        <f t="shared" si="2"/>
        <v>AA poste3</v>
      </c>
      <c r="E186" s="107" t="s">
        <v>192</v>
      </c>
      <c r="F186" s="108">
        <f t="shared" si="3"/>
        <v>42</v>
      </c>
      <c r="G186" s="387" t="str">
        <f>'Fiche N° 42'!E14</f>
        <v>Démantellement (récupération)</v>
      </c>
      <c r="H186" s="387"/>
      <c r="I186" s="387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86">
        <f>'Fiche N° 43'!C51</f>
        <v>0</v>
      </c>
      <c r="C187" s="386"/>
      <c r="D187" s="106" t="str">
        <f t="shared" si="2"/>
        <v>AA poste3</v>
      </c>
      <c r="E187" s="107" t="s">
        <v>192</v>
      </c>
      <c r="F187" s="108">
        <f t="shared" si="3"/>
        <v>43</v>
      </c>
      <c r="G187" s="387" t="str">
        <f>'Fiche N° 43'!E14</f>
        <v>Démantellement (récupération)</v>
      </c>
      <c r="H187" s="387"/>
      <c r="I187" s="387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86">
        <f>'Fiche N° 44'!C51</f>
        <v>0</v>
      </c>
      <c r="C188" s="386"/>
      <c r="D188" s="106" t="str">
        <f t="shared" si="2"/>
        <v>AA poste3</v>
      </c>
      <c r="E188" s="107" t="s">
        <v>192</v>
      </c>
      <c r="F188" s="108">
        <f t="shared" si="3"/>
        <v>44</v>
      </c>
      <c r="G188" s="387" t="str">
        <f>'Fiche N° 44'!E14</f>
        <v>Démantellement (récupération)</v>
      </c>
      <c r="H188" s="387"/>
      <c r="I188" s="387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86">
        <f>'Fiche N° 45'!C51</f>
        <v>0</v>
      </c>
      <c r="C189" s="386"/>
      <c r="D189" s="106" t="str">
        <f t="shared" si="2"/>
        <v>AA poste3</v>
      </c>
      <c r="E189" s="107" t="s">
        <v>192</v>
      </c>
      <c r="F189" s="108">
        <f t="shared" si="3"/>
        <v>45</v>
      </c>
      <c r="G189" s="387" t="str">
        <f>'Fiche N° 45'!E14</f>
        <v>Démantellement (récupération)</v>
      </c>
      <c r="H189" s="387"/>
      <c r="I189" s="387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86">
        <f>'Fiche N° 46'!C51</f>
        <v>0</v>
      </c>
      <c r="C190" s="386"/>
      <c r="D190" s="106" t="str">
        <f t="shared" si="2"/>
        <v>AA poste3</v>
      </c>
      <c r="E190" s="107" t="s">
        <v>192</v>
      </c>
      <c r="F190" s="108">
        <f t="shared" si="3"/>
        <v>46</v>
      </c>
      <c r="G190" s="387" t="str">
        <f>'Fiche N° 46'!E14</f>
        <v>Démantellement (récupération)</v>
      </c>
      <c r="H190" s="387"/>
      <c r="I190" s="387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86">
        <f>'Fiche N° 47'!C51</f>
        <v>0</v>
      </c>
      <c r="C191" s="386"/>
      <c r="D191" s="106" t="str">
        <f t="shared" si="2"/>
        <v>AA poste3</v>
      </c>
      <c r="E191" s="107" t="s">
        <v>192</v>
      </c>
      <c r="F191" s="108">
        <f t="shared" si="3"/>
        <v>47</v>
      </c>
      <c r="G191" s="387" t="str">
        <f>'Fiche N° 47'!E14</f>
        <v>Démantellement (récupération)</v>
      </c>
      <c r="H191" s="387"/>
      <c r="I191" s="387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86">
        <f>'Fiche N° 48'!C51</f>
        <v>0</v>
      </c>
      <c r="C192" s="386"/>
      <c r="D192" s="106" t="str">
        <f t="shared" si="2"/>
        <v>AA poste3</v>
      </c>
      <c r="E192" s="107" t="s">
        <v>192</v>
      </c>
      <c r="F192" s="108">
        <f t="shared" si="3"/>
        <v>48</v>
      </c>
      <c r="G192" s="387" t="str">
        <f>'Fiche N° 48'!E14</f>
        <v>Démantellement (récupération)</v>
      </c>
      <c r="H192" s="387"/>
      <c r="I192" s="387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86">
        <f>'Fiche N° 49'!C51</f>
        <v>0</v>
      </c>
      <c r="C193" s="386"/>
      <c r="D193" s="106" t="str">
        <f t="shared" si="2"/>
        <v>AA poste3</v>
      </c>
      <c r="E193" s="107" t="s">
        <v>192</v>
      </c>
      <c r="F193" s="108">
        <f t="shared" si="3"/>
        <v>49</v>
      </c>
      <c r="G193" s="387" t="str">
        <f>'Fiche N° 49'!E14</f>
        <v>Démantellement (récupération)</v>
      </c>
      <c r="H193" s="387"/>
      <c r="I193" s="387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86">
        <f>'Fiche N° 50'!C51</f>
        <v>0</v>
      </c>
      <c r="C194" s="386"/>
      <c r="D194" s="106" t="str">
        <f t="shared" si="2"/>
        <v>AA poste3</v>
      </c>
      <c r="E194" s="107" t="s">
        <v>192</v>
      </c>
      <c r="F194" s="108">
        <f t="shared" si="3"/>
        <v>50</v>
      </c>
      <c r="G194" s="387" t="str">
        <f>'Fiche N° 50'!E14</f>
        <v>Démantellement (récupération)</v>
      </c>
      <c r="H194" s="387"/>
      <c r="I194" s="387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0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2012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poste3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poste3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poste3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poste3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poste3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poste3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poste3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poste3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poste3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poste3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poste3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poste3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poste3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poste3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poste3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poste3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poste3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poste3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poste3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poste3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poste3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poste3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poste3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poste3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poste3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2012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poste3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poste3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poste3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poste3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poste3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poste3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poste3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poste3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poste3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poste3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poste3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poste3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poste3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poste3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poste3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poste3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poste3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poste3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poste3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poste3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poste3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poste3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poste3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poste3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poste3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2012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poste3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poste3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poste3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poste3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poste3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poste3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poste3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poste3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poste3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poste3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poste3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poste3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poste3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poste3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poste3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poste3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poste3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poste3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poste3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poste3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poste3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poste3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poste3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poste3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poste3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2012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poste3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poste3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poste3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poste3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poste3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poste3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poste3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poste3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poste3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poste3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poste3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poste3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poste3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poste3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poste3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poste3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poste3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poste3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poste3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poste3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poste3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poste3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poste3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poste3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poste3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2012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2012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1"/>
      <c r="L13" s="491"/>
      <c r="M13" s="491"/>
      <c r="N13" s="492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  <c r="O14" s="206"/>
      <c r="P14" s="206"/>
      <c r="Q14" s="206"/>
      <c r="R14" s="206"/>
      <c r="S14" s="206"/>
    </row>
    <row r="15" spans="1:19" ht="23.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456</v>
      </c>
      <c r="F18" s="13"/>
      <c r="G18" s="13"/>
      <c r="H18" s="13"/>
      <c r="I18" s="13"/>
      <c r="J18" s="13"/>
      <c r="K18" s="13"/>
      <c r="L18" s="264"/>
      <c r="M18" s="547"/>
      <c r="N18" s="548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0.57999999999999996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462</v>
      </c>
      <c r="D40" s="509"/>
      <c r="E40" s="238"/>
      <c r="F40" s="510">
        <v>0.51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/>
      <c r="G41" s="511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466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455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66" t="s">
        <v>463</v>
      </c>
      <c r="D51" s="204"/>
      <c r="E51" s="204"/>
      <c r="F51" s="204"/>
      <c r="G51" s="204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 t="s">
        <v>464</v>
      </c>
      <c r="D52" s="483"/>
      <c r="E52" s="483"/>
      <c r="F52" s="483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40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>
        <f>F33</f>
        <v>0</v>
      </c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3"/>
    </row>
    <row r="5" spans="1:19" ht="15.95" customHeight="1">
      <c r="A5" s="535" t="s">
        <v>6</v>
      </c>
      <c r="B5" s="536"/>
      <c r="C5" s="536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4:N4"/>
    <mergeCell ref="B14:D14"/>
    <mergeCell ref="A5:C6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52:F52"/>
    <mergeCell ref="I51:K51"/>
    <mergeCell ref="M18:N18"/>
    <mergeCell ref="C41:D41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3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460</v>
      </c>
      <c r="M1" s="513"/>
      <c r="N1" s="51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461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2012-02-07T12:49:08Z</cp:lastPrinted>
  <dcterms:created xsi:type="dcterms:W3CDTF">2010-07-07T09:27:51Z</dcterms:created>
  <dcterms:modified xsi:type="dcterms:W3CDTF">2012-02-07T12:50:03Z</dcterms:modified>
</cp:coreProperties>
</file>