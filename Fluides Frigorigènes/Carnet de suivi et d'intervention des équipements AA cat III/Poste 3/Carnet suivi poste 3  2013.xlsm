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 iterateDelta="1E-4"/>
</workbook>
</file>

<file path=xl/calcChain.xml><?xml version="1.0" encoding="utf-8"?>
<calcChain xmlns="http://schemas.openxmlformats.org/spreadsheetml/2006/main">
  <c r="B194" i="63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B141"/>
  <c r="B138"/>
  <c r="B137"/>
  <c r="G141"/>
  <c r="G140"/>
  <c r="G139"/>
  <c r="G138"/>
  <c r="G137"/>
  <c r="M141"/>
  <c r="L141"/>
  <c r="M140"/>
  <c r="L140"/>
  <c r="M139"/>
  <c r="L139"/>
  <c r="M138"/>
  <c r="L138"/>
  <c r="M137"/>
  <c r="L137"/>
  <c r="K137"/>
  <c r="K171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K4"/>
  <c r="L34"/>
  <c r="K164"/>
  <c r="K169"/>
  <c r="K197" s="1"/>
  <c r="E365"/>
  <c r="L364"/>
  <c r="M364"/>
  <c r="K198" l="1"/>
  <c r="K6" s="1"/>
  <c r="K34"/>
  <c r="K3"/>
  <c r="L37"/>
  <c r="K203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<sst xmlns="http://schemas.openxmlformats.org/spreadsheetml/2006/main" count="6296" uniqueCount="468">
  <si>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</si>
  <si>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</si>
  <si>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</si>
  <si>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</si>
  <si>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</si>
  <si>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</si>
  <si>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</si>
  <si>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</si>
  <si>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</si>
  <si>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</si>
  <si>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</si>
  <si>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</si>
  <si>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</si>
  <si>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</si>
  <si>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</si>
  <si>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</si>
  <si>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</si>
  <si>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</si>
  <si>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</si>
  <si>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</si>
  <si>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</si>
  <si>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</si>
  <si>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</si>
  <si>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</si>
  <si>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</si>
  <si>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</si>
  <si>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</si>
  <si>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</si>
  <si>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</si>
  <si>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</si>
  <si>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</si>
  <si>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</si>
  <si>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</si>
  <si>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</si>
  <si>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</si>
  <si>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</si>
  <si>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</si>
  <si>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</si>
  <si>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</si>
  <si>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</si>
  <si>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</si>
  <si>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</si>
  <si>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</si>
  <si>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</si>
  <si>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</si>
  <si>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</si>
  <si>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</si>
  <si>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</si>
  <si>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</si>
  <si>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</si>
  <si>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</si>
  <si>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</si>
  <si>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</si>
  <si>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</si>
  <si>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</si>
  <si>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</si>
  <si>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</si>
  <si>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</si>
  <si>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</si>
  <si>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</si>
  <si>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</si>
  <si>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</si>
  <si>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</si>
  <si>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</si>
  <si>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</si>
  <si>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</si>
  <si>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</si>
  <si>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</si>
  <si>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</si>
  <si>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</si>
  <si>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</si>
  <si>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</si>
  <si>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</si>
  <si>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</si>
  <si>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</si>
  <si>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</si>
  <si>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</si>
  <si>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</si>
  <si>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</si>
  <si>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</si>
  <si>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</si>
  <si>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</si>
  <si>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</si>
  <si>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</si>
  <si>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</si>
  <si>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</si>
  <si>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</si>
  <si>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</si>
  <si>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</si>
  <si>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</si>
  <si>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</si>
  <si>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</si>
  <si>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</si>
  <si>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</si>
  <si>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</si>
  <si>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</si>
  <si>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</si>
  <si>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</si>
  <si>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</si>
  <si>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</si>
  <si>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</si>
  <si>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</si>
  <si>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</si>
  <si>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</si>
  <si>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</si>
  <si>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</si>
  <si>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</si>
  <si>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</si>
  <si>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</si>
  <si>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</si>
  <si>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</si>
  <si>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</si>
  <si>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</si>
  <si>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</si>
  <si>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</si>
  <si>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</si>
  <si>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</si>
  <si>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</si>
  <si>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</si>
  <si>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</si>
  <si>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</si>
  <si>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</si>
  <si>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</si>
  <si>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</si>
  <si>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</si>
  <si>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</si>
  <si>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</si>
  <si>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</si>
  <si>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</si>
  <si>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</si>
  <si>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</si>
  <si>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</si>
  <si>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</si>
  <si>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</si>
  <si>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</si>
  <si>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</si>
  <si>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</si>
  <si>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</si>
  <si>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</si>
  <si>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</si>
  <si>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</si>
  <si>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</si>
  <si>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</si>
  <si>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</si>
  <si>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</si>
  <si>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</si>
  <si>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</si>
  <si>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</si>
  <si>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</si>
  <si>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</si>
  <si>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</si>
  <si>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</si>
  <si>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</si>
  <si>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</si>
  <si>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</si>
  <si>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</si>
  <si>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</si>
  <si>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</si>
  <si>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</si>
  <si>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</si>
  <si>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</si>
  <si>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</si>
  <si>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</si>
  <si>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</si>
  <si>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</si>
  <si>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</si>
  <si>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</si>
  <si>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</si>
  <si>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</si>
  <si>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</si>
  <si>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</si>
  <si>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</si>
  <si>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</si>
  <si>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</si>
  <si>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</si>
  <si>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</si>
  <si>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</si>
  <si>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</si>
  <si>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</si>
  <si>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</si>
  <si>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</si>
  <si>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</si>
  <si>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</si>
  <si>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</si>
  <si>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</si>
  <si>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</si>
  <si>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</si>
  <si>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</si>
  <si>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</si>
  <si>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</si>
  <si>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</si>
  <si>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</si>
  <si>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</si>
  <si>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</si>
  <si>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</si>
  <si>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</si>
  <si>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</si>
  <si>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</si>
  <si>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</si>
  <si>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</si>
  <si>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</si>
  <si>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</si>
  <si>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</si>
  <si>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</si>
  <si>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</si>
  <si>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</si>
  <si>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</si>
  <si>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</si>
  <si>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</si>
  <si>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</si>
  <si>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</si>
  <si>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</si>
  <si>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</si>
  <si>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</si>
  <si>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</si>
  <si>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</si>
  <si>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</si>
  <si>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</si>
  <si>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</si>
  <si>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</si>
  <si>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</si>
  <si>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</si>
  <si>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</si>
  <si>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</si>
  <si>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</si>
  <si>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</si>
  <si>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</si>
  <si>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</si>
  <si>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</si>
  <si>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</si>
  <si>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</si>
  <si>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</si>
  <si>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</si>
  <si>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</si>
  <si>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</si>
  <si>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</si>
  <si>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</si>
  <si>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</si>
  <si>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</si>
  <si>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</si>
  <si>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</si>
  <si>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</si>
  <si>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</si>
  <si>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</si>
  <si>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</si>
  <si>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</si>
  <si>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</si>
  <si>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</si>
  <si>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</si>
  <si>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</si>
  <si>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</si>
  <si>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</si>
  <si>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</si>
  <si>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</si>
  <si>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</si>
  <si>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</si>
  <si>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</si>
  <si>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</si>
  <si>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</si>
  <si>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</si>
  <si>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</si>
  <si>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</si>
  <si>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</si>
  <si>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</si>
  <si>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</si>
  <si>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</si>
  <si>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</si>
  <si>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</si>
  <si>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</si>
  <si>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</si>
  <si>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</si>
  <si>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</si>
  <si>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</si>
  <si>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</si>
  <si>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</si>
  <si>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</si>
  <si>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</si>
  <si>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</si>
  <si>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</si>
  <si>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</si>
  <si>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</si>
  <si>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</si>
  <si>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</si>
  <si>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</si>
  <si>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</si>
  <si>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</si>
  <si>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</si>
  <si>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</si>
  <si>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</si>
  <si>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</si>
  <si>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</si>
  <si>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</si>
  <si>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</si>
  <si>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</si>
  <si>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</si>
  <si>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</si>
  <si>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</si>
  <si>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</si>
  <si>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</si>
  <si>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</si>
  <si>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</si>
  <si>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</si>
  <si>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</si>
  <si>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</si>
  <si>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</si>
  <si>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</si>
  <si>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</si>
  <si>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</si>
  <si>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</si>
  <si>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</si>
  <si>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</si>
  <si>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</si>
  <si>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</si>
  <si>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</si>
  <si>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</si>
  <si>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</si>
  <si>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</si>
  <si>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</si>
  <si>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</si>
  <si>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</si>
  <si>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</si>
  <si>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</si>
  <si>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</si>
  <si>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</si>
  <si>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</si>
  <si>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</si>
  <si>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</si>
  <si>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</si>
  <si>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</si>
  <si>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</si>
  <si>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</si>
  <si>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</si>
  <si>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</si>
  <si>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</si>
  <si>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</si>
  <si>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</si>
  <si>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</si>
  <si>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</si>
  <si>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</si>
  <si>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</si>
  <si>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</si>
  <si>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</si>
  <si>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</si>
  <si>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</si>
  <si>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</si>
  <si>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</si>
  <si>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</si>
  <si>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</si>
  <si>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</si>
  <si>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</si>
  <si>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</si>
  <si>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</si>
  <si>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</si>
  <si>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</si>
  <si>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</si>
  <si>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</si>
  <si>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</si>
  <si>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</si>
  <si>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</si>
  <si>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</si>
  <si>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</si>
  <si>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</si>
  <si>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</si>
  <si>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</si>
  <si>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</si>
  <si>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</si>
  <si>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</si>
  <si>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</si>
  <si>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</si>
  <si>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</si>
  <si>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</si>
  <si>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</si>
  <si>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</si>
  <si>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</si>
  <si>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</si>
  <si>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</si>
  <si>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</si>
  <si>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</si>
  <si>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</si>
  <si>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</si>
  <si>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</si>
  <si>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</si>
  <si>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</si>
  <si>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</si>
  <si>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</si>
  <si>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</si>
  <si>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</si>
  <si>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</si>
  <si>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</si>
  <si>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</si>
  <si>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</si>
  <si>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</si>
  <si>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</si>
  <si>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</si>
  <si>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</si>
  <si>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</si>
  <si>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</si>
  <si>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</si>
  <si>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</si>
  <si>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</si>
  <si>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</si>
  <si>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</si>
  <si>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</si>
  <si>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</si>
  <si>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</si>
  <si>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</si>
  <si>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</si>
  <si>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</si>
  <si>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</si>
  <si>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</si>
  <si>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</si>
  <si>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</si>
  <si>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</si>
  <si>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</si>
  <si>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</si>
  <si>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</si>
  <si>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</si>
  <si>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</si>
  <si>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</si>
  <si>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</si>
  <si>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</si>
  <si>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</si>
  <si>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</si>
  <si>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</si>
  <si>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</si>
  <si>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</si>
  <si>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</si>
  <si>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</si>
  <si>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</si>
  <si>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</si>
  <si>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</si>
  <si>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</si>
  <si>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</si>
  <si>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</si>
  <si>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</si>
  <si>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</si>
  <si>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</si>
  <si>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</si>
  <si>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</si>
  <si>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</si>
  <si>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</t>
  </si>
  <si>
    <t>CARLY</t>
  </si>
  <si>
    <t>Réservoir liquide horizontal 3/4 rotal 1/4</t>
  </si>
  <si>
    <t>RLHCY 15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</si>
  <si>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</si>
  <si>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</si>
  <si>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</si>
  <si>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</si>
  <si>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</si>
  <si>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</si>
  <si>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</si>
  <si>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</si>
  <si>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</si>
  <si>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</si>
  <si>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09/12/2010</t>
  </si>
  <si>
    <t>Date de la dernière vérification : 19/08/2010</t>
  </si>
  <si>
    <t>1h00</t>
  </si>
  <si>
    <t>59010/GRN109/0111</t>
  </si>
  <si>
    <t>AA poste3</t>
  </si>
  <si>
    <t>C82817</t>
  </si>
  <si>
    <t>N°AA Poste 3 /</t>
  </si>
  <si>
    <t>59010/GRN 109/0111</t>
  </si>
  <si>
    <t>59010/GRN109/0025</t>
  </si>
  <si>
    <t>LEBACQ</t>
  </si>
  <si>
    <t>Mickaël</t>
  </si>
  <si>
    <t>TIF</t>
  </si>
  <si>
    <t>9030E</t>
  </si>
  <si>
    <t>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</si>
</sst>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98" xfId="1" applyFont="1" applyBorder="1" applyAlignment="1" applyProtection="1">
      <protection locked="0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89"/>
          <c:h val="0.777567261732911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0960000"/>
        <c:axId val="40961536"/>
      </c:lineChart>
      <c:catAx>
        <c:axId val="4096000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0961536"/>
        <c:crosses val="autoZero"/>
        <c:auto val="1"/>
        <c:lblAlgn val="ctr"/>
        <c:lblOffset val="100"/>
        <c:tickLblSkip val="1"/>
        <c:tickMarkSkip val="1"/>
      </c:catAx>
      <c:valAx>
        <c:axId val="4096153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096000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4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120" zoomScaleSheetLayoutView="100" zoomScalePageLayoutView="120" workbookViewId="0">
      <selection activeCell="K15" sqref="K15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0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2013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457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458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0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0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poste3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 t="s">
        <v>440</v>
      </c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40143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441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442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443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445</v>
      </c>
      <c r="I97" s="93" t="s">
        <v>444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459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2013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 t="s">
        <v>467</v>
      </c>
      <c r="B136" s="376"/>
      <c r="C136" s="377"/>
      <c r="D136" s="106" t="str">
        <f>$G$19</f>
        <v>AA poste3</v>
      </c>
      <c r="E136" s="107" t="s">
        <v>192</v>
      </c>
      <c r="F136" s="108">
        <v>1</v>
      </c>
      <c r="G136" s="378" t="s">
        <v>446</v>
      </c>
      <c r="H136" s="378"/>
      <c r="I136" s="378"/>
      <c r="J136" s="109"/>
      <c r="K136" s="110">
        <f>'Fiche N° 1'!F31</f>
        <v>0</v>
      </c>
      <c r="L136" s="110">
        <v>0</v>
      </c>
      <c r="M136" s="110">
        <v>0</v>
      </c>
    </row>
    <row r="137" spans="1:13" s="111" customFormat="1" ht="21.95" customHeight="1">
      <c r="A137" s="267">
        <f>'Fiche N° 2'!C53</f>
        <v>0</v>
      </c>
      <c r="B137" s="376">
        <f>'Fiche N° 2'!C51</f>
        <v>0</v>
      </c>
      <c r="C137" s="377"/>
      <c r="D137" s="106" t="str">
        <f t="shared" ref="D137:D160" si="0">$G$19</f>
        <v>AA poste3</v>
      </c>
      <c r="E137" s="107" t="s">
        <v>192</v>
      </c>
      <c r="F137" s="108">
        <f t="shared" ref="F137:F160" si="1">SUM(F136,1)</f>
        <v>2</v>
      </c>
      <c r="G137" s="378" t="str">
        <f>'Fiche N° 2'!E14</f>
        <v>Démantellement (récupération)</v>
      </c>
      <c r="H137" s="378"/>
      <c r="I137" s="378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76">
        <f>'Fiche N° 3'!C51</f>
        <v>0</v>
      </c>
      <c r="C138" s="377"/>
      <c r="D138" s="106" t="str">
        <f t="shared" si="0"/>
        <v>AA poste3</v>
      </c>
      <c r="E138" s="107" t="s">
        <v>192</v>
      </c>
      <c r="F138" s="108">
        <f t="shared" si="1"/>
        <v>3</v>
      </c>
      <c r="G138" s="378" t="str">
        <f>'Fiche N° 3'!E14</f>
        <v>Démantellement (récupération)</v>
      </c>
      <c r="H138" s="378"/>
      <c r="I138" s="378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76">
        <f>'Fiche N° 7'!$C$51</f>
        <v>0</v>
      </c>
      <c r="C139" s="377"/>
      <c r="D139" s="106" t="str">
        <f t="shared" si="0"/>
        <v>AA poste3</v>
      </c>
      <c r="E139" s="107" t="s">
        <v>192</v>
      </c>
      <c r="F139" s="108">
        <f t="shared" si="1"/>
        <v>4</v>
      </c>
      <c r="G139" s="378" t="str">
        <f>'Fiche N° 4'!E14</f>
        <v>Démantellement (récupération)</v>
      </c>
      <c r="H139" s="378"/>
      <c r="I139" s="378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76">
        <f>'Fiche N° 7'!$C$51</f>
        <v>0</v>
      </c>
      <c r="C140" s="377"/>
      <c r="D140" s="106" t="str">
        <f t="shared" si="0"/>
        <v>AA poste3</v>
      </c>
      <c r="E140" s="107" t="s">
        <v>192</v>
      </c>
      <c r="F140" s="108">
        <f t="shared" si="1"/>
        <v>5</v>
      </c>
      <c r="G140" s="378" t="str">
        <f>'Fiche N° 5'!E14</f>
        <v>Démantellement (récupération)</v>
      </c>
      <c r="H140" s="378"/>
      <c r="I140" s="378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76">
        <f>'Fiche N° 6'!C51</f>
        <v>0</v>
      </c>
      <c r="C141" s="377"/>
      <c r="D141" s="106" t="str">
        <f t="shared" si="0"/>
        <v>AA poste3</v>
      </c>
      <c r="E141" s="107" t="s">
        <v>192</v>
      </c>
      <c r="F141" s="108">
        <f t="shared" si="1"/>
        <v>6</v>
      </c>
      <c r="G141" s="378" t="str">
        <f>'Fiche N° 6'!E14</f>
        <v>Démantellement (récupération)</v>
      </c>
      <c r="H141" s="378"/>
      <c r="I141" s="378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76">
        <f>'Fiche N° 7'!$C$51</f>
        <v>0</v>
      </c>
      <c r="C142" s="377"/>
      <c r="D142" s="106" t="str">
        <f t="shared" si="0"/>
        <v>AA poste3</v>
      </c>
      <c r="E142" s="107" t="s">
        <v>192</v>
      </c>
      <c r="F142" s="108">
        <f t="shared" si="1"/>
        <v>7</v>
      </c>
      <c r="G142" s="378" t="str">
        <f>'Fiche N° 7'!$E$14</f>
        <v>Démantellement (récupération)</v>
      </c>
      <c r="H142" s="378"/>
      <c r="I142" s="378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76">
        <f>'Fiche N° 8'!$C$51</f>
        <v>0</v>
      </c>
      <c r="C143" s="377"/>
      <c r="D143" s="106" t="str">
        <f t="shared" si="0"/>
        <v>AA poste3</v>
      </c>
      <c r="E143" s="107" t="s">
        <v>192</v>
      </c>
      <c r="F143" s="108">
        <f t="shared" si="1"/>
        <v>8</v>
      </c>
      <c r="G143" s="378" t="str">
        <f>'Fiche N° 8'!$E$14</f>
        <v>Démantellement (récupération)</v>
      </c>
      <c r="H143" s="378"/>
      <c r="I143" s="378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76">
        <f>'Fiche N° 9'!$C$51</f>
        <v>0</v>
      </c>
      <c r="C144" s="377"/>
      <c r="D144" s="106" t="str">
        <f t="shared" si="0"/>
        <v>AA poste3</v>
      </c>
      <c r="E144" s="107" t="s">
        <v>192</v>
      </c>
      <c r="F144" s="108">
        <f t="shared" si="1"/>
        <v>9</v>
      </c>
      <c r="G144" s="378" t="str">
        <f>'Fiche N° 9'!$E$14</f>
        <v>Démantellement (récupération)</v>
      </c>
      <c r="H144" s="378"/>
      <c r="I144" s="378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76">
        <f>'Fiche N° 10'!$C$51</f>
        <v>0</v>
      </c>
      <c r="C145" s="377"/>
      <c r="D145" s="106" t="str">
        <f t="shared" si="0"/>
        <v>AA poste3</v>
      </c>
      <c r="E145" s="107" t="s">
        <v>192</v>
      </c>
      <c r="F145" s="108">
        <f t="shared" si="1"/>
        <v>10</v>
      </c>
      <c r="G145" s="378" t="str">
        <f>'Fiche N° 10'!$E$14</f>
        <v>Démantellement (récupération)</v>
      </c>
      <c r="H145" s="378"/>
      <c r="I145" s="378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76">
        <f>'Fiche N° 11'!$C$51</f>
        <v>0</v>
      </c>
      <c r="C146" s="377"/>
      <c r="D146" s="106" t="str">
        <f t="shared" si="0"/>
        <v>AA poste3</v>
      </c>
      <c r="E146" s="107" t="s">
        <v>192</v>
      </c>
      <c r="F146" s="108">
        <f t="shared" si="1"/>
        <v>11</v>
      </c>
      <c r="G146" s="378" t="str">
        <f>'Fiche N° 11'!$E$14</f>
        <v>Démantellement (récupération)</v>
      </c>
      <c r="H146" s="378"/>
      <c r="I146" s="378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76">
        <f>'Fiche N° 12'!$C$51</f>
        <v>0</v>
      </c>
      <c r="C147" s="377"/>
      <c r="D147" s="106" t="str">
        <f t="shared" si="0"/>
        <v>AA poste3</v>
      </c>
      <c r="E147" s="107" t="s">
        <v>192</v>
      </c>
      <c r="F147" s="108">
        <f t="shared" si="1"/>
        <v>12</v>
      </c>
      <c r="G147" s="378" t="str">
        <f>'Fiche N° 12'!$E$14</f>
        <v>Démantellement (récupération)</v>
      </c>
      <c r="H147" s="378"/>
      <c r="I147" s="378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76">
        <f>'Fiche N° 13'!$C$51</f>
        <v>0</v>
      </c>
      <c r="C148" s="377"/>
      <c r="D148" s="106" t="str">
        <f t="shared" si="0"/>
        <v>AA poste3</v>
      </c>
      <c r="E148" s="107" t="s">
        <v>192</v>
      </c>
      <c r="F148" s="108">
        <f t="shared" si="1"/>
        <v>13</v>
      </c>
      <c r="G148" s="378" t="str">
        <f>'Fiche N° 13'!$E$14</f>
        <v>Démantellement (récupération)</v>
      </c>
      <c r="H148" s="378"/>
      <c r="I148" s="378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76">
        <f>'Fiche N° 14'!$C$51</f>
        <v>0</v>
      </c>
      <c r="C149" s="377"/>
      <c r="D149" s="106" t="str">
        <f t="shared" si="0"/>
        <v>AA poste3</v>
      </c>
      <c r="E149" s="107" t="s">
        <v>192</v>
      </c>
      <c r="F149" s="108">
        <f t="shared" si="1"/>
        <v>14</v>
      </c>
      <c r="G149" s="378" t="str">
        <f>'Fiche N° 14'!$E$14</f>
        <v>Démantellement (récupération)</v>
      </c>
      <c r="H149" s="378"/>
      <c r="I149" s="378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76">
        <f>'Fiche N° 15'!$C$51</f>
        <v>0</v>
      </c>
      <c r="C150" s="377"/>
      <c r="D150" s="106" t="str">
        <f t="shared" si="0"/>
        <v>AA poste3</v>
      </c>
      <c r="E150" s="107" t="s">
        <v>192</v>
      </c>
      <c r="F150" s="108">
        <f t="shared" si="1"/>
        <v>15</v>
      </c>
      <c r="G150" s="378" t="str">
        <f>'Fiche N° 15'!$E$14</f>
        <v>Démantellement (récupération)</v>
      </c>
      <c r="H150" s="378"/>
      <c r="I150" s="378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76">
        <f>'Fiche N° 16'!$C$51</f>
        <v>0</v>
      </c>
      <c r="C151" s="377"/>
      <c r="D151" s="106" t="str">
        <f t="shared" si="0"/>
        <v>AA poste3</v>
      </c>
      <c r="E151" s="107" t="s">
        <v>192</v>
      </c>
      <c r="F151" s="108">
        <f t="shared" si="1"/>
        <v>16</v>
      </c>
      <c r="G151" s="378" t="str">
        <f>'Fiche N° 16'!$E$14</f>
        <v>Démantellement (récupération)</v>
      </c>
      <c r="H151" s="378"/>
      <c r="I151" s="378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76">
        <f>'Fiche N° 17'!$C$51</f>
        <v>0</v>
      </c>
      <c r="C152" s="377"/>
      <c r="D152" s="106" t="str">
        <f t="shared" si="0"/>
        <v>AA poste3</v>
      </c>
      <c r="E152" s="107" t="s">
        <v>192</v>
      </c>
      <c r="F152" s="108">
        <f t="shared" si="1"/>
        <v>17</v>
      </c>
      <c r="G152" s="378" t="str">
        <f>'Fiche N° 17'!$E$14</f>
        <v>Démantellement (récupération)</v>
      </c>
      <c r="H152" s="378"/>
      <c r="I152" s="378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76">
        <f>'Fiche N° 18'!$C$51</f>
        <v>0</v>
      </c>
      <c r="C153" s="377"/>
      <c r="D153" s="106" t="str">
        <f t="shared" si="0"/>
        <v>AA poste3</v>
      </c>
      <c r="E153" s="107" t="s">
        <v>192</v>
      </c>
      <c r="F153" s="108">
        <f t="shared" si="1"/>
        <v>18</v>
      </c>
      <c r="G153" s="378" t="str">
        <f>'Fiche N° 18'!$E$14</f>
        <v>Démantellement (récupération)</v>
      </c>
      <c r="H153" s="378"/>
      <c r="I153" s="378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76">
        <f>'Fiche N° 19'!$C$51</f>
        <v>0</v>
      </c>
      <c r="C154" s="377"/>
      <c r="D154" s="106" t="str">
        <f t="shared" si="0"/>
        <v>AA poste3</v>
      </c>
      <c r="E154" s="107" t="s">
        <v>192</v>
      </c>
      <c r="F154" s="108">
        <f t="shared" si="1"/>
        <v>19</v>
      </c>
      <c r="G154" s="378" t="str">
        <f>'Fiche N° 19'!$E$14</f>
        <v>Démantellement (récupération)</v>
      </c>
      <c r="H154" s="378"/>
      <c r="I154" s="378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76">
        <f>'Fiche N° 20'!$C$51</f>
        <v>0</v>
      </c>
      <c r="C155" s="377"/>
      <c r="D155" s="106" t="str">
        <f t="shared" si="0"/>
        <v>AA poste3</v>
      </c>
      <c r="E155" s="107" t="s">
        <v>192</v>
      </c>
      <c r="F155" s="108">
        <f t="shared" si="1"/>
        <v>20</v>
      </c>
      <c r="G155" s="378" t="str">
        <f>'Fiche N° 20'!$E$14</f>
        <v>Démantellement (récupération)</v>
      </c>
      <c r="H155" s="378"/>
      <c r="I155" s="378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76">
        <f>'Fiche N° 21'!$C$51</f>
        <v>0</v>
      </c>
      <c r="C156" s="377"/>
      <c r="D156" s="106" t="str">
        <f t="shared" si="0"/>
        <v>AA poste3</v>
      </c>
      <c r="E156" s="107" t="s">
        <v>192</v>
      </c>
      <c r="F156" s="108">
        <f t="shared" si="1"/>
        <v>21</v>
      </c>
      <c r="G156" s="378" t="str">
        <f>'Fiche N° 21'!$E$14</f>
        <v>Démantellement (récupération)</v>
      </c>
      <c r="H156" s="378"/>
      <c r="I156" s="378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76">
        <f>'Fiche N° 22'!$C$51</f>
        <v>0</v>
      </c>
      <c r="C157" s="377"/>
      <c r="D157" s="106" t="str">
        <f t="shared" si="0"/>
        <v>AA poste3</v>
      </c>
      <c r="E157" s="107" t="s">
        <v>192</v>
      </c>
      <c r="F157" s="108">
        <f t="shared" si="1"/>
        <v>22</v>
      </c>
      <c r="G157" s="378" t="str">
        <f>'Fiche N° 22'!$E$14</f>
        <v>Démantellement (récupération)</v>
      </c>
      <c r="H157" s="378"/>
      <c r="I157" s="378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76">
        <f>'Fiche N° 23'!$C$51</f>
        <v>0</v>
      </c>
      <c r="C158" s="377"/>
      <c r="D158" s="106" t="str">
        <f t="shared" si="0"/>
        <v>AA poste3</v>
      </c>
      <c r="E158" s="107" t="s">
        <v>192</v>
      </c>
      <c r="F158" s="108">
        <f t="shared" si="1"/>
        <v>23</v>
      </c>
      <c r="G158" s="378" t="str">
        <f>'Fiche N° 23'!$E$14</f>
        <v>Démantellement (récupération)</v>
      </c>
      <c r="H158" s="378"/>
      <c r="I158" s="378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76">
        <f>'Fiche N° 24'!$C$51</f>
        <v>0</v>
      </c>
      <c r="C159" s="377"/>
      <c r="D159" s="106" t="str">
        <f t="shared" si="0"/>
        <v>AA poste3</v>
      </c>
      <c r="E159" s="107" t="s">
        <v>192</v>
      </c>
      <c r="F159" s="108">
        <f t="shared" si="1"/>
        <v>24</v>
      </c>
      <c r="G159" s="378" t="str">
        <f>'Fiche N° 24'!$E$14</f>
        <v>Démantellement (récupération)</v>
      </c>
      <c r="H159" s="378"/>
      <c r="I159" s="378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76">
        <f>'Fiche N° 25'!$C$51</f>
        <v>0</v>
      </c>
      <c r="C160" s="377"/>
      <c r="D160" s="106" t="str">
        <f t="shared" si="0"/>
        <v>AA poste3</v>
      </c>
      <c r="E160" s="107" t="s">
        <v>192</v>
      </c>
      <c r="F160" s="108">
        <f t="shared" si="1"/>
        <v>25</v>
      </c>
      <c r="G160" s="378" t="str">
        <f>'Fiche N° 25'!$E$14</f>
        <v>Démantellement (récupération)</v>
      </c>
      <c r="H160" s="378"/>
      <c r="I160" s="378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5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6" t="s">
        <v>193</v>
      </c>
      <c r="B162" s="386"/>
      <c r="C162" s="386"/>
      <c r="D162" s="386"/>
      <c r="E162" s="386"/>
      <c r="F162" s="386"/>
      <c r="G162" s="386"/>
      <c r="H162" s="386"/>
      <c r="I162" s="386"/>
      <c r="J162" s="386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7" t="s">
        <v>194</v>
      </c>
      <c r="B163" s="387"/>
      <c r="C163" s="387"/>
      <c r="D163" s="387"/>
      <c r="E163" s="387"/>
      <c r="F163" s="387"/>
      <c r="G163" s="387"/>
      <c r="H163" s="387"/>
      <c r="I163" s="388" t="s">
        <v>195</v>
      </c>
      <c r="J163" s="388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90" t="s">
        <v>196</v>
      </c>
      <c r="B164" s="390"/>
      <c r="C164" s="390"/>
      <c r="D164" s="390"/>
      <c r="E164" s="390"/>
      <c r="F164" s="390"/>
      <c r="G164" s="390"/>
      <c r="H164" s="390"/>
      <c r="I164" s="390"/>
      <c r="J164" s="390"/>
      <c r="K164" s="391">
        <f>K163+L163-M163</f>
        <v>0</v>
      </c>
      <c r="L164" s="391"/>
      <c r="M164" s="391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2013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9" t="s">
        <v>197</v>
      </c>
      <c r="B169" s="389"/>
      <c r="C169" s="389"/>
      <c r="D169" s="389"/>
      <c r="E169" s="389"/>
      <c r="F169" s="389"/>
      <c r="G169" s="389"/>
      <c r="H169" s="389"/>
      <c r="I169" s="389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77">
        <f>'Fiche N° 26'!C51</f>
        <v>0</v>
      </c>
      <c r="C170" s="377"/>
      <c r="D170" s="106" t="str">
        <f t="shared" ref="D170:D194" si="2">$G$19</f>
        <v>AA poste3</v>
      </c>
      <c r="E170" s="107" t="s">
        <v>192</v>
      </c>
      <c r="F170" s="108">
        <f>SUM(F160,1)</f>
        <v>26</v>
      </c>
      <c r="G170" s="378" t="str">
        <f>'Fiche N° 26'!E14</f>
        <v>Démantellement (récupération)</v>
      </c>
      <c r="H170" s="378"/>
      <c r="I170" s="378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77">
        <f>'Fiche N° 27'!C51</f>
        <v>0</v>
      </c>
      <c r="C171" s="377"/>
      <c r="D171" s="106" t="str">
        <f t="shared" si="2"/>
        <v>AA poste3</v>
      </c>
      <c r="E171" s="107" t="s">
        <v>192</v>
      </c>
      <c r="F171" s="108">
        <f t="shared" ref="F171:F194" si="3">SUM(F170,1)</f>
        <v>27</v>
      </c>
      <c r="G171" s="378" t="str">
        <f>'Fiche N° 27'!E14</f>
        <v>Démantellement (récupération)</v>
      </c>
      <c r="H171" s="378"/>
      <c r="I171" s="378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77">
        <f>'Fiche N° 28'!C51</f>
        <v>0</v>
      </c>
      <c r="C172" s="377"/>
      <c r="D172" s="106" t="str">
        <f t="shared" si="2"/>
        <v>AA poste3</v>
      </c>
      <c r="E172" s="107" t="s">
        <v>192</v>
      </c>
      <c r="F172" s="108">
        <f t="shared" si="3"/>
        <v>28</v>
      </c>
      <c r="G172" s="378" t="str">
        <f>'Fiche N° 28'!E14</f>
        <v>Démantellement (récupération)</v>
      </c>
      <c r="H172" s="378"/>
      <c r="I172" s="378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77">
        <f>'Fiche N° 29'!C51</f>
        <v>0</v>
      </c>
      <c r="C173" s="377"/>
      <c r="D173" s="106" t="str">
        <f t="shared" si="2"/>
        <v>AA poste3</v>
      </c>
      <c r="E173" s="107" t="s">
        <v>192</v>
      </c>
      <c r="F173" s="108">
        <f t="shared" si="3"/>
        <v>29</v>
      </c>
      <c r="G173" s="378" t="str">
        <f>'Fiche N° 29'!E14</f>
        <v>Démantellement (récupération)</v>
      </c>
      <c r="H173" s="378"/>
      <c r="I173" s="378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77">
        <f>'Fiche N° 30'!C51</f>
        <v>0</v>
      </c>
      <c r="C174" s="377"/>
      <c r="D174" s="106" t="str">
        <f t="shared" si="2"/>
        <v>AA poste3</v>
      </c>
      <c r="E174" s="107" t="s">
        <v>192</v>
      </c>
      <c r="F174" s="108">
        <f t="shared" si="3"/>
        <v>30</v>
      </c>
      <c r="G174" s="378" t="str">
        <f>'Fiche N° 30'!E14</f>
        <v>Démantellement (récupération)</v>
      </c>
      <c r="H174" s="378"/>
      <c r="I174" s="378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77">
        <f>'Fiche N° 31'!C51</f>
        <v>0</v>
      </c>
      <c r="C175" s="377"/>
      <c r="D175" s="106" t="str">
        <f t="shared" si="2"/>
        <v>AA poste3</v>
      </c>
      <c r="E175" s="107" t="s">
        <v>192</v>
      </c>
      <c r="F175" s="108">
        <f t="shared" si="3"/>
        <v>31</v>
      </c>
      <c r="G175" s="378" t="str">
        <f>'Fiche N° 31'!E14</f>
        <v>Démantellement (récupération)</v>
      </c>
      <c r="H175" s="378"/>
      <c r="I175" s="378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77">
        <f>'Fiche N° 32'!C51</f>
        <v>0</v>
      </c>
      <c r="C176" s="377"/>
      <c r="D176" s="106" t="str">
        <f t="shared" si="2"/>
        <v>AA poste3</v>
      </c>
      <c r="E176" s="107" t="s">
        <v>192</v>
      </c>
      <c r="F176" s="108">
        <f t="shared" si="3"/>
        <v>32</v>
      </c>
      <c r="G176" s="378" t="str">
        <f>'Fiche N° 32'!E14</f>
        <v>Démantellement (récupération)</v>
      </c>
      <c r="H176" s="378"/>
      <c r="I176" s="378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77">
        <f>'Fiche N° 33'!C51</f>
        <v>0</v>
      </c>
      <c r="C177" s="377"/>
      <c r="D177" s="106" t="str">
        <f t="shared" si="2"/>
        <v>AA poste3</v>
      </c>
      <c r="E177" s="107" t="s">
        <v>192</v>
      </c>
      <c r="F177" s="108">
        <f t="shared" si="3"/>
        <v>33</v>
      </c>
      <c r="G177" s="378" t="str">
        <f>'Fiche N° 33'!E14</f>
        <v>Démantellement (récupération)</v>
      </c>
      <c r="H177" s="378"/>
      <c r="I177" s="378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77">
        <f>'Fiche N° 34'!C51</f>
        <v>0</v>
      </c>
      <c r="C178" s="377"/>
      <c r="D178" s="106" t="str">
        <f t="shared" si="2"/>
        <v>AA poste3</v>
      </c>
      <c r="E178" s="107" t="s">
        <v>192</v>
      </c>
      <c r="F178" s="108">
        <f t="shared" si="3"/>
        <v>34</v>
      </c>
      <c r="G178" s="378" t="str">
        <f>'Fiche N° 34'!E14</f>
        <v>Démantellement (récupération)</v>
      </c>
      <c r="H178" s="378"/>
      <c r="I178" s="378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77">
        <f>'Fiche N° 35'!C51</f>
        <v>0</v>
      </c>
      <c r="C179" s="377"/>
      <c r="D179" s="106" t="str">
        <f t="shared" si="2"/>
        <v>AA poste3</v>
      </c>
      <c r="E179" s="107" t="s">
        <v>192</v>
      </c>
      <c r="F179" s="108">
        <f t="shared" si="3"/>
        <v>35</v>
      </c>
      <c r="G179" s="378" t="str">
        <f>'Fiche N° 35'!E14</f>
        <v>Démantellement (récupération)</v>
      </c>
      <c r="H179" s="378"/>
      <c r="I179" s="378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77">
        <f>'Fiche N° 36'!C51</f>
        <v>0</v>
      </c>
      <c r="C180" s="377"/>
      <c r="D180" s="106" t="str">
        <f t="shared" si="2"/>
        <v>AA poste3</v>
      </c>
      <c r="E180" s="107" t="s">
        <v>192</v>
      </c>
      <c r="F180" s="108">
        <f t="shared" si="3"/>
        <v>36</v>
      </c>
      <c r="G180" s="378" t="str">
        <f>'Fiche N° 36'!E14</f>
        <v>Démantellement (récupération)</v>
      </c>
      <c r="H180" s="378"/>
      <c r="I180" s="378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77">
        <f>'Fiche N° 37'!C51</f>
        <v>0</v>
      </c>
      <c r="C181" s="377"/>
      <c r="D181" s="106" t="str">
        <f t="shared" si="2"/>
        <v>AA poste3</v>
      </c>
      <c r="E181" s="107" t="s">
        <v>192</v>
      </c>
      <c r="F181" s="108">
        <f t="shared" si="3"/>
        <v>37</v>
      </c>
      <c r="G181" s="378" t="str">
        <f>'Fiche N° 37'!E14</f>
        <v>Démantellement (récupération)</v>
      </c>
      <c r="H181" s="378"/>
      <c r="I181" s="378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77">
        <f>'Fiche N° 38'!C51</f>
        <v>0</v>
      </c>
      <c r="C182" s="377"/>
      <c r="D182" s="106" t="str">
        <f t="shared" si="2"/>
        <v>AA poste3</v>
      </c>
      <c r="E182" s="107" t="s">
        <v>192</v>
      </c>
      <c r="F182" s="108">
        <f t="shared" si="3"/>
        <v>38</v>
      </c>
      <c r="G182" s="378" t="str">
        <f>'Fiche N° 38'!E14</f>
        <v>Démantellement (récupération)</v>
      </c>
      <c r="H182" s="378"/>
      <c r="I182" s="378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77">
        <f>'Fiche N° 39'!C51</f>
        <v>0</v>
      </c>
      <c r="C183" s="377"/>
      <c r="D183" s="106" t="str">
        <f t="shared" si="2"/>
        <v>AA poste3</v>
      </c>
      <c r="E183" s="107" t="s">
        <v>192</v>
      </c>
      <c r="F183" s="108">
        <f t="shared" si="3"/>
        <v>39</v>
      </c>
      <c r="G183" s="378" t="str">
        <f>'Fiche N° 39'!E14</f>
        <v>Démantellement (récupération)</v>
      </c>
      <c r="H183" s="378"/>
      <c r="I183" s="378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77">
        <f>'Fiche N° 40'!C51</f>
        <v>0</v>
      </c>
      <c r="C184" s="377"/>
      <c r="D184" s="106" t="str">
        <f t="shared" si="2"/>
        <v>AA poste3</v>
      </c>
      <c r="E184" s="107" t="s">
        <v>192</v>
      </c>
      <c r="F184" s="108">
        <f t="shared" si="3"/>
        <v>40</v>
      </c>
      <c r="G184" s="378" t="str">
        <f>'Fiche N° 40'!E14</f>
        <v>Démantellement (récupération)</v>
      </c>
      <c r="H184" s="378"/>
      <c r="I184" s="378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77">
        <f>'Fiche N° 41'!C51</f>
        <v>0</v>
      </c>
      <c r="C185" s="377"/>
      <c r="D185" s="106" t="str">
        <f t="shared" si="2"/>
        <v>AA poste3</v>
      </c>
      <c r="E185" s="107" t="s">
        <v>192</v>
      </c>
      <c r="F185" s="108">
        <f t="shared" si="3"/>
        <v>41</v>
      </c>
      <c r="G185" s="378" t="str">
        <f>'Fiche N° 41'!E14</f>
        <v>Démantellement (récupération)</v>
      </c>
      <c r="H185" s="378"/>
      <c r="I185" s="378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77">
        <f>'Fiche N° 42'!C51</f>
        <v>0</v>
      </c>
      <c r="C186" s="377"/>
      <c r="D186" s="106" t="str">
        <f t="shared" si="2"/>
        <v>AA poste3</v>
      </c>
      <c r="E186" s="107" t="s">
        <v>192</v>
      </c>
      <c r="F186" s="108">
        <f t="shared" si="3"/>
        <v>42</v>
      </c>
      <c r="G186" s="378" t="str">
        <f>'Fiche N° 42'!E14</f>
        <v>Démantellement (récupération)</v>
      </c>
      <c r="H186" s="378"/>
      <c r="I186" s="378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77">
        <f>'Fiche N° 43'!C51</f>
        <v>0</v>
      </c>
      <c r="C187" s="377"/>
      <c r="D187" s="106" t="str">
        <f t="shared" si="2"/>
        <v>AA poste3</v>
      </c>
      <c r="E187" s="107" t="s">
        <v>192</v>
      </c>
      <c r="F187" s="108">
        <f t="shared" si="3"/>
        <v>43</v>
      </c>
      <c r="G187" s="378" t="str">
        <f>'Fiche N° 43'!E14</f>
        <v>Démantellement (récupération)</v>
      </c>
      <c r="H187" s="378"/>
      <c r="I187" s="378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77">
        <f>'Fiche N° 44'!C51</f>
        <v>0</v>
      </c>
      <c r="C188" s="377"/>
      <c r="D188" s="106" t="str">
        <f t="shared" si="2"/>
        <v>AA poste3</v>
      </c>
      <c r="E188" s="107" t="s">
        <v>192</v>
      </c>
      <c r="F188" s="108">
        <f t="shared" si="3"/>
        <v>44</v>
      </c>
      <c r="G188" s="378" t="str">
        <f>'Fiche N° 44'!E14</f>
        <v>Démantellement (récupération)</v>
      </c>
      <c r="H188" s="378"/>
      <c r="I188" s="378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77">
        <f>'Fiche N° 45'!C51</f>
        <v>0</v>
      </c>
      <c r="C189" s="377"/>
      <c r="D189" s="106" t="str">
        <f t="shared" si="2"/>
        <v>AA poste3</v>
      </c>
      <c r="E189" s="107" t="s">
        <v>192</v>
      </c>
      <c r="F189" s="108">
        <f t="shared" si="3"/>
        <v>45</v>
      </c>
      <c r="G189" s="378" t="str">
        <f>'Fiche N° 45'!E14</f>
        <v>Démantellement (récupération)</v>
      </c>
      <c r="H189" s="378"/>
      <c r="I189" s="378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77">
        <f>'Fiche N° 46'!C51</f>
        <v>0</v>
      </c>
      <c r="C190" s="377"/>
      <c r="D190" s="106" t="str">
        <f t="shared" si="2"/>
        <v>AA poste3</v>
      </c>
      <c r="E190" s="107" t="s">
        <v>192</v>
      </c>
      <c r="F190" s="108">
        <f t="shared" si="3"/>
        <v>46</v>
      </c>
      <c r="G190" s="378" t="str">
        <f>'Fiche N° 46'!E14</f>
        <v>Démantellement (récupération)</v>
      </c>
      <c r="H190" s="378"/>
      <c r="I190" s="378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77">
        <f>'Fiche N° 47'!C51</f>
        <v>0</v>
      </c>
      <c r="C191" s="377"/>
      <c r="D191" s="106" t="str">
        <f t="shared" si="2"/>
        <v>AA poste3</v>
      </c>
      <c r="E191" s="107" t="s">
        <v>192</v>
      </c>
      <c r="F191" s="108">
        <f t="shared" si="3"/>
        <v>47</v>
      </c>
      <c r="G191" s="378" t="str">
        <f>'Fiche N° 47'!E14</f>
        <v>Démantellement (récupération)</v>
      </c>
      <c r="H191" s="378"/>
      <c r="I191" s="378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77">
        <f>'Fiche N° 48'!C51</f>
        <v>0</v>
      </c>
      <c r="C192" s="377"/>
      <c r="D192" s="106" t="str">
        <f t="shared" si="2"/>
        <v>AA poste3</v>
      </c>
      <c r="E192" s="107" t="s">
        <v>192</v>
      </c>
      <c r="F192" s="108">
        <f t="shared" si="3"/>
        <v>48</v>
      </c>
      <c r="G192" s="378" t="str">
        <f>'Fiche N° 48'!E14</f>
        <v>Démantellement (récupération)</v>
      </c>
      <c r="H192" s="378"/>
      <c r="I192" s="378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77">
        <f>'Fiche N° 49'!C51</f>
        <v>0</v>
      </c>
      <c r="C193" s="377"/>
      <c r="D193" s="106" t="str">
        <f t="shared" si="2"/>
        <v>AA poste3</v>
      </c>
      <c r="E193" s="107" t="s">
        <v>192</v>
      </c>
      <c r="F193" s="108">
        <f t="shared" si="3"/>
        <v>49</v>
      </c>
      <c r="G193" s="378" t="str">
        <f>'Fiche N° 49'!E14</f>
        <v>Démantellement (récupération)</v>
      </c>
      <c r="H193" s="378"/>
      <c r="I193" s="378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77">
        <f>'Fiche N° 50'!C51</f>
        <v>0</v>
      </c>
      <c r="C194" s="377"/>
      <c r="D194" s="106" t="str">
        <f t="shared" si="2"/>
        <v>AA poste3</v>
      </c>
      <c r="E194" s="107" t="s">
        <v>192</v>
      </c>
      <c r="F194" s="108">
        <f t="shared" si="3"/>
        <v>50</v>
      </c>
      <c r="G194" s="378" t="str">
        <f>'Fiche N° 50'!E14</f>
        <v>Démantellement (récupération)</v>
      </c>
      <c r="H194" s="378"/>
      <c r="I194" s="378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6" t="s">
        <v>193</v>
      </c>
      <c r="B196" s="386"/>
      <c r="C196" s="386"/>
      <c r="D196" s="386"/>
      <c r="E196" s="386"/>
      <c r="F196" s="386"/>
      <c r="G196" s="386"/>
      <c r="H196" s="386"/>
      <c r="I196" s="386"/>
      <c r="J196" s="386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7" t="s">
        <v>194</v>
      </c>
      <c r="B197" s="387"/>
      <c r="C197" s="387"/>
      <c r="D197" s="387"/>
      <c r="E197" s="387"/>
      <c r="F197" s="387"/>
      <c r="G197" s="387"/>
      <c r="H197" s="387"/>
      <c r="I197" s="388" t="s">
        <v>195</v>
      </c>
      <c r="J197" s="388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90" t="s">
        <v>196</v>
      </c>
      <c r="B198" s="390"/>
      <c r="C198" s="390"/>
      <c r="D198" s="390"/>
      <c r="E198" s="390"/>
      <c r="F198" s="390"/>
      <c r="G198" s="390"/>
      <c r="H198" s="390"/>
      <c r="I198" s="390"/>
      <c r="J198" s="390"/>
      <c r="K198" s="391">
        <f>K197+L197-M197</f>
        <v>0</v>
      </c>
      <c r="L198" s="391"/>
      <c r="M198" s="391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2013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9" t="s">
        <v>197</v>
      </c>
      <c r="B203" s="389"/>
      <c r="C203" s="389"/>
      <c r="D203" s="389"/>
      <c r="E203" s="389"/>
      <c r="F203" s="389"/>
      <c r="G203" s="389"/>
      <c r="H203" s="389"/>
      <c r="I203" s="389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poste3</v>
      </c>
      <c r="E204" s="107" t="s">
        <v>192</v>
      </c>
      <c r="F204" s="108">
        <f>SUM(F194,1)</f>
        <v>51</v>
      </c>
      <c r="G204" s="392" t="e">
        <f>#REF!</f>
        <v>#REF!</v>
      </c>
      <c r="H204" s="392"/>
      <c r="I204" s="392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poste3</v>
      </c>
      <c r="E205" s="107" t="s">
        <v>192</v>
      </c>
      <c r="F205" s="108">
        <f t="shared" ref="F205:F228" si="5">SUM(F204,1)</f>
        <v>52</v>
      </c>
      <c r="G205" s="392" t="e">
        <f>#REF!</f>
        <v>#REF!</v>
      </c>
      <c r="H205" s="392"/>
      <c r="I205" s="392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poste3</v>
      </c>
      <c r="E206" s="107" t="s">
        <v>192</v>
      </c>
      <c r="F206" s="108">
        <f t="shared" si="5"/>
        <v>53</v>
      </c>
      <c r="G206" s="392" t="e">
        <f>#REF!</f>
        <v>#REF!</v>
      </c>
      <c r="H206" s="392"/>
      <c r="I206" s="392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poste3</v>
      </c>
      <c r="E207" s="107" t="s">
        <v>192</v>
      </c>
      <c r="F207" s="108">
        <f t="shared" si="5"/>
        <v>54</v>
      </c>
      <c r="G207" s="392" t="e">
        <f>#REF!</f>
        <v>#REF!</v>
      </c>
      <c r="H207" s="392"/>
      <c r="I207" s="392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poste3</v>
      </c>
      <c r="E208" s="107" t="s">
        <v>192</v>
      </c>
      <c r="F208" s="108">
        <f t="shared" si="5"/>
        <v>55</v>
      </c>
      <c r="G208" s="392" t="e">
        <f>#REF!</f>
        <v>#REF!</v>
      </c>
      <c r="H208" s="392"/>
      <c r="I208" s="392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poste3</v>
      </c>
      <c r="E209" s="107" t="s">
        <v>192</v>
      </c>
      <c r="F209" s="108">
        <f t="shared" si="5"/>
        <v>56</v>
      </c>
      <c r="G209" s="392" t="e">
        <f>#REF!</f>
        <v>#REF!</v>
      </c>
      <c r="H209" s="392"/>
      <c r="I209" s="392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poste3</v>
      </c>
      <c r="E210" s="107" t="s">
        <v>192</v>
      </c>
      <c r="F210" s="108">
        <f t="shared" si="5"/>
        <v>57</v>
      </c>
      <c r="G210" s="392" t="e">
        <f>#REF!</f>
        <v>#REF!</v>
      </c>
      <c r="H210" s="392"/>
      <c r="I210" s="392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poste3</v>
      </c>
      <c r="E211" s="107" t="s">
        <v>192</v>
      </c>
      <c r="F211" s="108">
        <f t="shared" si="5"/>
        <v>58</v>
      </c>
      <c r="G211" s="392" t="e">
        <f>#REF!</f>
        <v>#REF!</v>
      </c>
      <c r="H211" s="392"/>
      <c r="I211" s="392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poste3</v>
      </c>
      <c r="E212" s="107" t="s">
        <v>192</v>
      </c>
      <c r="F212" s="108">
        <f t="shared" si="5"/>
        <v>59</v>
      </c>
      <c r="G212" s="392" t="e">
        <f>#REF!</f>
        <v>#REF!</v>
      </c>
      <c r="H212" s="392"/>
      <c r="I212" s="392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poste3</v>
      </c>
      <c r="E213" s="107" t="s">
        <v>192</v>
      </c>
      <c r="F213" s="108">
        <f t="shared" si="5"/>
        <v>60</v>
      </c>
      <c r="G213" s="392" t="e">
        <f>#REF!</f>
        <v>#REF!</v>
      </c>
      <c r="H213" s="392"/>
      <c r="I213" s="392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poste3</v>
      </c>
      <c r="E214" s="107" t="s">
        <v>192</v>
      </c>
      <c r="F214" s="108">
        <f t="shared" si="5"/>
        <v>61</v>
      </c>
      <c r="G214" s="392" t="e">
        <f>#REF!</f>
        <v>#REF!</v>
      </c>
      <c r="H214" s="392"/>
      <c r="I214" s="392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poste3</v>
      </c>
      <c r="E215" s="107" t="s">
        <v>192</v>
      </c>
      <c r="F215" s="108">
        <f t="shared" si="5"/>
        <v>62</v>
      </c>
      <c r="G215" s="392" t="e">
        <f>#REF!</f>
        <v>#REF!</v>
      </c>
      <c r="H215" s="392"/>
      <c r="I215" s="392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poste3</v>
      </c>
      <c r="E216" s="107" t="s">
        <v>192</v>
      </c>
      <c r="F216" s="108">
        <f t="shared" si="5"/>
        <v>63</v>
      </c>
      <c r="G216" s="392" t="e">
        <f>#REF!</f>
        <v>#REF!</v>
      </c>
      <c r="H216" s="392"/>
      <c r="I216" s="392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poste3</v>
      </c>
      <c r="E217" s="107" t="s">
        <v>192</v>
      </c>
      <c r="F217" s="108">
        <f t="shared" si="5"/>
        <v>64</v>
      </c>
      <c r="G217" s="392" t="e">
        <f>#REF!</f>
        <v>#REF!</v>
      </c>
      <c r="H217" s="392"/>
      <c r="I217" s="392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poste3</v>
      </c>
      <c r="E218" s="107" t="s">
        <v>192</v>
      </c>
      <c r="F218" s="108">
        <f t="shared" si="5"/>
        <v>65</v>
      </c>
      <c r="G218" s="392" t="e">
        <f>#REF!</f>
        <v>#REF!</v>
      </c>
      <c r="H218" s="392"/>
      <c r="I218" s="392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poste3</v>
      </c>
      <c r="E219" s="107" t="s">
        <v>192</v>
      </c>
      <c r="F219" s="108">
        <f t="shared" si="5"/>
        <v>66</v>
      </c>
      <c r="G219" s="392" t="e">
        <f>#REF!</f>
        <v>#REF!</v>
      </c>
      <c r="H219" s="392"/>
      <c r="I219" s="392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poste3</v>
      </c>
      <c r="E220" s="107" t="s">
        <v>192</v>
      </c>
      <c r="F220" s="108">
        <f t="shared" si="5"/>
        <v>67</v>
      </c>
      <c r="G220" s="392" t="e">
        <f>#REF!</f>
        <v>#REF!</v>
      </c>
      <c r="H220" s="392"/>
      <c r="I220" s="392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poste3</v>
      </c>
      <c r="E221" s="107" t="s">
        <v>192</v>
      </c>
      <c r="F221" s="108">
        <f t="shared" si="5"/>
        <v>68</v>
      </c>
      <c r="G221" s="392" t="e">
        <f>#REF!</f>
        <v>#REF!</v>
      </c>
      <c r="H221" s="392"/>
      <c r="I221" s="392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poste3</v>
      </c>
      <c r="E222" s="107" t="s">
        <v>192</v>
      </c>
      <c r="F222" s="108">
        <f t="shared" si="5"/>
        <v>69</v>
      </c>
      <c r="G222" s="392" t="e">
        <f>#REF!</f>
        <v>#REF!</v>
      </c>
      <c r="H222" s="392"/>
      <c r="I222" s="392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poste3</v>
      </c>
      <c r="E223" s="107" t="s">
        <v>192</v>
      </c>
      <c r="F223" s="108">
        <f t="shared" si="5"/>
        <v>70</v>
      </c>
      <c r="G223" s="392" t="e">
        <f>#REF!</f>
        <v>#REF!</v>
      </c>
      <c r="H223" s="392"/>
      <c r="I223" s="392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poste3</v>
      </c>
      <c r="E224" s="107" t="s">
        <v>192</v>
      </c>
      <c r="F224" s="108">
        <f t="shared" si="5"/>
        <v>71</v>
      </c>
      <c r="G224" s="392" t="e">
        <f>#REF!</f>
        <v>#REF!</v>
      </c>
      <c r="H224" s="392"/>
      <c r="I224" s="392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poste3</v>
      </c>
      <c r="E225" s="107" t="s">
        <v>192</v>
      </c>
      <c r="F225" s="108">
        <f t="shared" si="5"/>
        <v>72</v>
      </c>
      <c r="G225" s="392" t="e">
        <f>#REF!</f>
        <v>#REF!</v>
      </c>
      <c r="H225" s="392"/>
      <c r="I225" s="392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poste3</v>
      </c>
      <c r="E226" s="107" t="s">
        <v>192</v>
      </c>
      <c r="F226" s="108">
        <f t="shared" si="5"/>
        <v>73</v>
      </c>
      <c r="G226" s="392" t="e">
        <f>#REF!</f>
        <v>#REF!</v>
      </c>
      <c r="H226" s="392"/>
      <c r="I226" s="392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poste3</v>
      </c>
      <c r="E227" s="107" t="s">
        <v>192</v>
      </c>
      <c r="F227" s="108">
        <f t="shared" si="5"/>
        <v>74</v>
      </c>
      <c r="G227" s="392" t="e">
        <f>#REF!</f>
        <v>#REF!</v>
      </c>
      <c r="H227" s="392"/>
      <c r="I227" s="392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poste3</v>
      </c>
      <c r="E228" s="107" t="s">
        <v>192</v>
      </c>
      <c r="F228" s="108">
        <f t="shared" si="5"/>
        <v>75</v>
      </c>
      <c r="G228" s="392" t="e">
        <f>#REF!</f>
        <v>#REF!</v>
      </c>
      <c r="H228" s="392"/>
      <c r="I228" s="392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6" t="s">
        <v>193</v>
      </c>
      <c r="B230" s="386"/>
      <c r="C230" s="386"/>
      <c r="D230" s="386"/>
      <c r="E230" s="386"/>
      <c r="F230" s="386"/>
      <c r="G230" s="386"/>
      <c r="H230" s="386"/>
      <c r="I230" s="386"/>
      <c r="J230" s="386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7" t="s">
        <v>194</v>
      </c>
      <c r="B231" s="387"/>
      <c r="C231" s="387"/>
      <c r="D231" s="387"/>
      <c r="E231" s="387"/>
      <c r="F231" s="387"/>
      <c r="G231" s="387"/>
      <c r="H231" s="387"/>
      <c r="I231" s="388" t="s">
        <v>195</v>
      </c>
      <c r="J231" s="388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90" t="s">
        <v>196</v>
      </c>
      <c r="B232" s="390"/>
      <c r="C232" s="390"/>
      <c r="D232" s="390"/>
      <c r="E232" s="390"/>
      <c r="F232" s="390"/>
      <c r="G232" s="390"/>
      <c r="H232" s="390"/>
      <c r="I232" s="390"/>
      <c r="J232" s="390"/>
      <c r="K232" s="391" t="e">
        <f>K231+L231-M231</f>
        <v>#REF!</v>
      </c>
      <c r="L232" s="391"/>
      <c r="M232" s="391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2013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9" t="s">
        <v>197</v>
      </c>
      <c r="B238" s="389"/>
      <c r="C238" s="389"/>
      <c r="D238" s="389"/>
      <c r="E238" s="389"/>
      <c r="F238" s="389"/>
      <c r="G238" s="389"/>
      <c r="H238" s="389"/>
      <c r="I238" s="389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poste3</v>
      </c>
      <c r="E239" s="107" t="s">
        <v>192</v>
      </c>
      <c r="F239" s="108">
        <f>SUM(F228,1)</f>
        <v>76</v>
      </c>
      <c r="G239" s="392" t="e">
        <f>#REF!</f>
        <v>#REF!</v>
      </c>
      <c r="H239" s="392"/>
      <c r="I239" s="392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poste3</v>
      </c>
      <c r="E240" s="107" t="s">
        <v>192</v>
      </c>
      <c r="F240" s="108">
        <f t="shared" ref="F240:F263" si="7">SUM(F239,1)</f>
        <v>77</v>
      </c>
      <c r="G240" s="392" t="e">
        <f>#REF!</f>
        <v>#REF!</v>
      </c>
      <c r="H240" s="392"/>
      <c r="I240" s="392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poste3</v>
      </c>
      <c r="E241" s="107" t="s">
        <v>192</v>
      </c>
      <c r="F241" s="108">
        <f t="shared" si="7"/>
        <v>78</v>
      </c>
      <c r="G241" s="392" t="e">
        <f>#REF!</f>
        <v>#REF!</v>
      </c>
      <c r="H241" s="392"/>
      <c r="I241" s="392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poste3</v>
      </c>
      <c r="E242" s="107" t="s">
        <v>192</v>
      </c>
      <c r="F242" s="108">
        <f t="shared" si="7"/>
        <v>79</v>
      </c>
      <c r="G242" s="392" t="e">
        <f>#REF!</f>
        <v>#REF!</v>
      </c>
      <c r="H242" s="392"/>
      <c r="I242" s="392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poste3</v>
      </c>
      <c r="E243" s="107" t="s">
        <v>192</v>
      </c>
      <c r="F243" s="108">
        <f t="shared" si="7"/>
        <v>80</v>
      </c>
      <c r="G243" s="392" t="e">
        <f>#REF!</f>
        <v>#REF!</v>
      </c>
      <c r="H243" s="392"/>
      <c r="I243" s="392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poste3</v>
      </c>
      <c r="E244" s="107" t="s">
        <v>192</v>
      </c>
      <c r="F244" s="108">
        <f t="shared" si="7"/>
        <v>81</v>
      </c>
      <c r="G244" s="392" t="e">
        <f>#REF!</f>
        <v>#REF!</v>
      </c>
      <c r="H244" s="392"/>
      <c r="I244" s="392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poste3</v>
      </c>
      <c r="E245" s="107" t="s">
        <v>192</v>
      </c>
      <c r="F245" s="108">
        <f t="shared" si="7"/>
        <v>82</v>
      </c>
      <c r="G245" s="392" t="e">
        <f>#REF!</f>
        <v>#REF!</v>
      </c>
      <c r="H245" s="392"/>
      <c r="I245" s="392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poste3</v>
      </c>
      <c r="E246" s="107" t="s">
        <v>192</v>
      </c>
      <c r="F246" s="108">
        <f t="shared" si="7"/>
        <v>83</v>
      </c>
      <c r="G246" s="392" t="e">
        <f>#REF!</f>
        <v>#REF!</v>
      </c>
      <c r="H246" s="392"/>
      <c r="I246" s="392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poste3</v>
      </c>
      <c r="E247" s="107" t="s">
        <v>192</v>
      </c>
      <c r="F247" s="108">
        <f t="shared" si="7"/>
        <v>84</v>
      </c>
      <c r="G247" s="392" t="e">
        <f>#REF!</f>
        <v>#REF!</v>
      </c>
      <c r="H247" s="392"/>
      <c r="I247" s="392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poste3</v>
      </c>
      <c r="E248" s="107" t="s">
        <v>192</v>
      </c>
      <c r="F248" s="108">
        <f t="shared" si="7"/>
        <v>85</v>
      </c>
      <c r="G248" s="392" t="e">
        <f>#REF!</f>
        <v>#REF!</v>
      </c>
      <c r="H248" s="392"/>
      <c r="I248" s="392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poste3</v>
      </c>
      <c r="E249" s="107" t="s">
        <v>192</v>
      </c>
      <c r="F249" s="108">
        <f t="shared" si="7"/>
        <v>86</v>
      </c>
      <c r="G249" s="392" t="e">
        <f>#REF!</f>
        <v>#REF!</v>
      </c>
      <c r="H249" s="392"/>
      <c r="I249" s="392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poste3</v>
      </c>
      <c r="E250" s="107" t="s">
        <v>192</v>
      </c>
      <c r="F250" s="108">
        <f t="shared" si="7"/>
        <v>87</v>
      </c>
      <c r="G250" s="392" t="e">
        <f>#REF!</f>
        <v>#REF!</v>
      </c>
      <c r="H250" s="392"/>
      <c r="I250" s="392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poste3</v>
      </c>
      <c r="E251" s="107" t="s">
        <v>192</v>
      </c>
      <c r="F251" s="108">
        <f t="shared" si="7"/>
        <v>88</v>
      </c>
      <c r="G251" s="392" t="e">
        <f>#REF!</f>
        <v>#REF!</v>
      </c>
      <c r="H251" s="392"/>
      <c r="I251" s="392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poste3</v>
      </c>
      <c r="E252" s="107" t="s">
        <v>192</v>
      </c>
      <c r="F252" s="108">
        <f t="shared" si="7"/>
        <v>89</v>
      </c>
      <c r="G252" s="392" t="e">
        <f>#REF!</f>
        <v>#REF!</v>
      </c>
      <c r="H252" s="392"/>
      <c r="I252" s="392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poste3</v>
      </c>
      <c r="E253" s="107" t="s">
        <v>192</v>
      </c>
      <c r="F253" s="108">
        <f t="shared" si="7"/>
        <v>90</v>
      </c>
      <c r="G253" s="392" t="e">
        <f>#REF!</f>
        <v>#REF!</v>
      </c>
      <c r="H253" s="392"/>
      <c r="I253" s="392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poste3</v>
      </c>
      <c r="E254" s="107" t="s">
        <v>192</v>
      </c>
      <c r="F254" s="108">
        <f t="shared" si="7"/>
        <v>91</v>
      </c>
      <c r="G254" s="392" t="e">
        <f>#REF!</f>
        <v>#REF!</v>
      </c>
      <c r="H254" s="392"/>
      <c r="I254" s="392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poste3</v>
      </c>
      <c r="E255" s="107" t="s">
        <v>192</v>
      </c>
      <c r="F255" s="108">
        <f t="shared" si="7"/>
        <v>92</v>
      </c>
      <c r="G255" s="392" t="e">
        <f>#REF!</f>
        <v>#REF!</v>
      </c>
      <c r="H255" s="392"/>
      <c r="I255" s="392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poste3</v>
      </c>
      <c r="E256" s="107" t="s">
        <v>192</v>
      </c>
      <c r="F256" s="108">
        <f t="shared" si="7"/>
        <v>93</v>
      </c>
      <c r="G256" s="392" t="e">
        <f>#REF!</f>
        <v>#REF!</v>
      </c>
      <c r="H256" s="392"/>
      <c r="I256" s="392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poste3</v>
      </c>
      <c r="E257" s="107" t="s">
        <v>192</v>
      </c>
      <c r="F257" s="108">
        <f t="shared" si="7"/>
        <v>94</v>
      </c>
      <c r="G257" s="392" t="e">
        <f>#REF!</f>
        <v>#REF!</v>
      </c>
      <c r="H257" s="392"/>
      <c r="I257" s="392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poste3</v>
      </c>
      <c r="E258" s="107" t="s">
        <v>192</v>
      </c>
      <c r="F258" s="108">
        <f t="shared" si="7"/>
        <v>95</v>
      </c>
      <c r="G258" s="392" t="e">
        <f>#REF!</f>
        <v>#REF!</v>
      </c>
      <c r="H258" s="392"/>
      <c r="I258" s="392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poste3</v>
      </c>
      <c r="E259" s="107" t="s">
        <v>192</v>
      </c>
      <c r="F259" s="108">
        <f t="shared" si="7"/>
        <v>96</v>
      </c>
      <c r="G259" s="392" t="e">
        <f>#REF!</f>
        <v>#REF!</v>
      </c>
      <c r="H259" s="392"/>
      <c r="I259" s="392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poste3</v>
      </c>
      <c r="E260" s="107" t="s">
        <v>192</v>
      </c>
      <c r="F260" s="108">
        <f t="shared" si="7"/>
        <v>97</v>
      </c>
      <c r="G260" s="392" t="e">
        <f>#REF!</f>
        <v>#REF!</v>
      </c>
      <c r="H260" s="392"/>
      <c r="I260" s="392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poste3</v>
      </c>
      <c r="E261" s="107" t="s">
        <v>192</v>
      </c>
      <c r="F261" s="108">
        <f t="shared" si="7"/>
        <v>98</v>
      </c>
      <c r="G261" s="392" t="e">
        <f>#REF!</f>
        <v>#REF!</v>
      </c>
      <c r="H261" s="392"/>
      <c r="I261" s="392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poste3</v>
      </c>
      <c r="E262" s="107" t="s">
        <v>192</v>
      </c>
      <c r="F262" s="108">
        <f t="shared" si="7"/>
        <v>99</v>
      </c>
      <c r="G262" s="392" t="e">
        <f>#REF!</f>
        <v>#REF!</v>
      </c>
      <c r="H262" s="392"/>
      <c r="I262" s="392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poste3</v>
      </c>
      <c r="E263" s="107" t="s">
        <v>192</v>
      </c>
      <c r="F263" s="108">
        <f t="shared" si="7"/>
        <v>100</v>
      </c>
      <c r="G263" s="392" t="e">
        <f>#REF!</f>
        <v>#REF!</v>
      </c>
      <c r="H263" s="392"/>
      <c r="I263" s="392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6" t="s">
        <v>193</v>
      </c>
      <c r="B265" s="386"/>
      <c r="C265" s="386"/>
      <c r="D265" s="386"/>
      <c r="E265" s="386"/>
      <c r="F265" s="386"/>
      <c r="G265" s="386"/>
      <c r="H265" s="386"/>
      <c r="I265" s="386"/>
      <c r="J265" s="386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7" t="s">
        <v>194</v>
      </c>
      <c r="B266" s="387"/>
      <c r="C266" s="387"/>
      <c r="D266" s="387"/>
      <c r="E266" s="387"/>
      <c r="F266" s="387"/>
      <c r="G266" s="387"/>
      <c r="H266" s="387"/>
      <c r="I266" s="388" t="s">
        <v>195</v>
      </c>
      <c r="J266" s="388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90" t="s">
        <v>196</v>
      </c>
      <c r="B267" s="390"/>
      <c r="C267" s="390"/>
      <c r="D267" s="390"/>
      <c r="E267" s="390"/>
      <c r="F267" s="390"/>
      <c r="G267" s="390"/>
      <c r="H267" s="390"/>
      <c r="I267" s="390"/>
      <c r="J267" s="390"/>
      <c r="K267" s="391" t="e">
        <f>K266+L266-M266</f>
        <v>#REF!</v>
      </c>
      <c r="L267" s="391"/>
      <c r="M267" s="391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2013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9" t="s">
        <v>197</v>
      </c>
      <c r="B272" s="389"/>
      <c r="C272" s="389"/>
      <c r="D272" s="389"/>
      <c r="E272" s="389"/>
      <c r="F272" s="389"/>
      <c r="G272" s="389"/>
      <c r="H272" s="389"/>
      <c r="I272" s="389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poste3</v>
      </c>
      <c r="E273" s="107" t="s">
        <v>192</v>
      </c>
      <c r="F273" s="108">
        <f>SUM(F263,1)</f>
        <v>101</v>
      </c>
      <c r="G273" s="392" t="e">
        <f>#REF!</f>
        <v>#REF!</v>
      </c>
      <c r="H273" s="392"/>
      <c r="I273" s="392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poste3</v>
      </c>
      <c r="E274" s="107" t="s">
        <v>192</v>
      </c>
      <c r="F274" s="108">
        <f t="shared" ref="F274:F297" si="9">SUM(F273,1)</f>
        <v>102</v>
      </c>
      <c r="G274" s="392" t="e">
        <f>#REF!</f>
        <v>#REF!</v>
      </c>
      <c r="H274" s="392"/>
      <c r="I274" s="392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poste3</v>
      </c>
      <c r="E275" s="107" t="s">
        <v>192</v>
      </c>
      <c r="F275" s="108">
        <f t="shared" si="9"/>
        <v>103</v>
      </c>
      <c r="G275" s="392" t="e">
        <f>#REF!</f>
        <v>#REF!</v>
      </c>
      <c r="H275" s="392"/>
      <c r="I275" s="392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poste3</v>
      </c>
      <c r="E276" s="107" t="s">
        <v>192</v>
      </c>
      <c r="F276" s="108">
        <f t="shared" si="9"/>
        <v>104</v>
      </c>
      <c r="G276" s="392" t="e">
        <f>#REF!</f>
        <v>#REF!</v>
      </c>
      <c r="H276" s="392"/>
      <c r="I276" s="392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poste3</v>
      </c>
      <c r="E277" s="107" t="s">
        <v>192</v>
      </c>
      <c r="F277" s="108">
        <f t="shared" si="9"/>
        <v>105</v>
      </c>
      <c r="G277" s="392" t="e">
        <f>#REF!</f>
        <v>#REF!</v>
      </c>
      <c r="H277" s="392"/>
      <c r="I277" s="392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poste3</v>
      </c>
      <c r="E278" s="107" t="s">
        <v>192</v>
      </c>
      <c r="F278" s="108">
        <f t="shared" si="9"/>
        <v>106</v>
      </c>
      <c r="G278" s="392" t="e">
        <f>#REF!</f>
        <v>#REF!</v>
      </c>
      <c r="H278" s="392"/>
      <c r="I278" s="392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poste3</v>
      </c>
      <c r="E279" s="107" t="s">
        <v>192</v>
      </c>
      <c r="F279" s="108">
        <f t="shared" si="9"/>
        <v>107</v>
      </c>
      <c r="G279" s="392" t="e">
        <f>#REF!</f>
        <v>#REF!</v>
      </c>
      <c r="H279" s="392"/>
      <c r="I279" s="392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poste3</v>
      </c>
      <c r="E280" s="107" t="s">
        <v>192</v>
      </c>
      <c r="F280" s="108">
        <f t="shared" si="9"/>
        <v>108</v>
      </c>
      <c r="G280" s="392" t="e">
        <f>#REF!</f>
        <v>#REF!</v>
      </c>
      <c r="H280" s="392"/>
      <c r="I280" s="392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poste3</v>
      </c>
      <c r="E281" s="107" t="s">
        <v>192</v>
      </c>
      <c r="F281" s="108">
        <f t="shared" si="9"/>
        <v>109</v>
      </c>
      <c r="G281" s="392" t="e">
        <f>#REF!</f>
        <v>#REF!</v>
      </c>
      <c r="H281" s="392"/>
      <c r="I281" s="392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poste3</v>
      </c>
      <c r="E282" s="107" t="s">
        <v>192</v>
      </c>
      <c r="F282" s="108">
        <f t="shared" si="9"/>
        <v>110</v>
      </c>
      <c r="G282" s="392" t="e">
        <f>#REF!</f>
        <v>#REF!</v>
      </c>
      <c r="H282" s="392"/>
      <c r="I282" s="392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poste3</v>
      </c>
      <c r="E283" s="107" t="s">
        <v>192</v>
      </c>
      <c r="F283" s="108">
        <f t="shared" si="9"/>
        <v>111</v>
      </c>
      <c r="G283" s="392" t="e">
        <f>#REF!</f>
        <v>#REF!</v>
      </c>
      <c r="H283" s="392"/>
      <c r="I283" s="392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poste3</v>
      </c>
      <c r="E284" s="107" t="s">
        <v>192</v>
      </c>
      <c r="F284" s="108">
        <f t="shared" si="9"/>
        <v>112</v>
      </c>
      <c r="G284" s="392" t="e">
        <f>#REF!</f>
        <v>#REF!</v>
      </c>
      <c r="H284" s="392"/>
      <c r="I284" s="392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poste3</v>
      </c>
      <c r="E285" s="107" t="s">
        <v>192</v>
      </c>
      <c r="F285" s="108">
        <f t="shared" si="9"/>
        <v>113</v>
      </c>
      <c r="G285" s="392" t="e">
        <f>#REF!</f>
        <v>#REF!</v>
      </c>
      <c r="H285" s="392"/>
      <c r="I285" s="392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poste3</v>
      </c>
      <c r="E286" s="107" t="s">
        <v>192</v>
      </c>
      <c r="F286" s="108">
        <f t="shared" si="9"/>
        <v>114</v>
      </c>
      <c r="G286" s="392" t="e">
        <f>#REF!</f>
        <v>#REF!</v>
      </c>
      <c r="H286" s="392"/>
      <c r="I286" s="392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poste3</v>
      </c>
      <c r="E287" s="107" t="s">
        <v>192</v>
      </c>
      <c r="F287" s="108">
        <f t="shared" si="9"/>
        <v>115</v>
      </c>
      <c r="G287" s="392" t="e">
        <f>#REF!</f>
        <v>#REF!</v>
      </c>
      <c r="H287" s="392"/>
      <c r="I287" s="392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poste3</v>
      </c>
      <c r="E288" s="107" t="s">
        <v>192</v>
      </c>
      <c r="F288" s="108">
        <f t="shared" si="9"/>
        <v>116</v>
      </c>
      <c r="G288" s="392" t="e">
        <f>#REF!</f>
        <v>#REF!</v>
      </c>
      <c r="H288" s="392"/>
      <c r="I288" s="392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poste3</v>
      </c>
      <c r="E289" s="107" t="s">
        <v>192</v>
      </c>
      <c r="F289" s="108">
        <f t="shared" si="9"/>
        <v>117</v>
      </c>
      <c r="G289" s="392" t="e">
        <f>#REF!</f>
        <v>#REF!</v>
      </c>
      <c r="H289" s="392"/>
      <c r="I289" s="392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poste3</v>
      </c>
      <c r="E290" s="107" t="s">
        <v>192</v>
      </c>
      <c r="F290" s="108">
        <f t="shared" si="9"/>
        <v>118</v>
      </c>
      <c r="G290" s="392" t="e">
        <f>#REF!</f>
        <v>#REF!</v>
      </c>
      <c r="H290" s="392"/>
      <c r="I290" s="392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poste3</v>
      </c>
      <c r="E291" s="107" t="s">
        <v>192</v>
      </c>
      <c r="F291" s="108">
        <f t="shared" si="9"/>
        <v>119</v>
      </c>
      <c r="G291" s="392" t="e">
        <f>#REF!</f>
        <v>#REF!</v>
      </c>
      <c r="H291" s="392"/>
      <c r="I291" s="392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poste3</v>
      </c>
      <c r="E292" s="107" t="s">
        <v>192</v>
      </c>
      <c r="F292" s="108">
        <f t="shared" si="9"/>
        <v>120</v>
      </c>
      <c r="G292" s="392" t="e">
        <f>#REF!</f>
        <v>#REF!</v>
      </c>
      <c r="H292" s="392"/>
      <c r="I292" s="392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poste3</v>
      </c>
      <c r="E293" s="107" t="s">
        <v>192</v>
      </c>
      <c r="F293" s="108">
        <f t="shared" si="9"/>
        <v>121</v>
      </c>
      <c r="G293" s="392" t="e">
        <f>#REF!</f>
        <v>#REF!</v>
      </c>
      <c r="H293" s="392"/>
      <c r="I293" s="392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poste3</v>
      </c>
      <c r="E294" s="107" t="s">
        <v>192</v>
      </c>
      <c r="F294" s="108">
        <f t="shared" si="9"/>
        <v>122</v>
      </c>
      <c r="G294" s="392" t="e">
        <f>#REF!</f>
        <v>#REF!</v>
      </c>
      <c r="H294" s="392"/>
      <c r="I294" s="392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poste3</v>
      </c>
      <c r="E295" s="107" t="s">
        <v>192</v>
      </c>
      <c r="F295" s="108">
        <f t="shared" si="9"/>
        <v>123</v>
      </c>
      <c r="G295" s="392" t="e">
        <f>#REF!</f>
        <v>#REF!</v>
      </c>
      <c r="H295" s="392"/>
      <c r="I295" s="392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poste3</v>
      </c>
      <c r="E296" s="107" t="s">
        <v>192</v>
      </c>
      <c r="F296" s="108">
        <f t="shared" si="9"/>
        <v>124</v>
      </c>
      <c r="G296" s="392" t="e">
        <f>#REF!</f>
        <v>#REF!</v>
      </c>
      <c r="H296" s="392"/>
      <c r="I296" s="392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poste3</v>
      </c>
      <c r="E297" s="107" t="s">
        <v>192</v>
      </c>
      <c r="F297" s="108">
        <f t="shared" si="9"/>
        <v>125</v>
      </c>
      <c r="G297" s="392" t="e">
        <f>#REF!</f>
        <v>#REF!</v>
      </c>
      <c r="H297" s="392"/>
      <c r="I297" s="392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6" t="s">
        <v>193</v>
      </c>
      <c r="B299" s="386"/>
      <c r="C299" s="386"/>
      <c r="D299" s="386"/>
      <c r="E299" s="386"/>
      <c r="F299" s="386"/>
      <c r="G299" s="386"/>
      <c r="H299" s="386"/>
      <c r="I299" s="386"/>
      <c r="J299" s="386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7" t="s">
        <v>194</v>
      </c>
      <c r="B300" s="387"/>
      <c r="C300" s="387"/>
      <c r="D300" s="387"/>
      <c r="E300" s="387"/>
      <c r="F300" s="387"/>
      <c r="G300" s="387"/>
      <c r="H300" s="387"/>
      <c r="I300" s="388" t="s">
        <v>195</v>
      </c>
      <c r="J300" s="388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90" t="s">
        <v>196</v>
      </c>
      <c r="B301" s="390"/>
      <c r="C301" s="390"/>
      <c r="D301" s="390"/>
      <c r="E301" s="390"/>
      <c r="F301" s="390"/>
      <c r="G301" s="390"/>
      <c r="H301" s="390"/>
      <c r="I301" s="390"/>
      <c r="J301" s="390"/>
      <c r="K301" s="391" t="e">
        <f>K300+L300-M300</f>
        <v>#REF!</v>
      </c>
      <c r="L301" s="391"/>
      <c r="M301" s="391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2013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9" t="s">
        <v>197</v>
      </c>
      <c r="B306" s="389"/>
      <c r="C306" s="389"/>
      <c r="D306" s="389"/>
      <c r="E306" s="389"/>
      <c r="F306" s="389"/>
      <c r="G306" s="389"/>
      <c r="H306" s="389"/>
      <c r="I306" s="389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poste3</v>
      </c>
      <c r="E307" s="107" t="s">
        <v>192</v>
      </c>
      <c r="F307" s="108">
        <f>SUM(F297,1)</f>
        <v>126</v>
      </c>
      <c r="G307" s="392" t="e">
        <f>#REF!</f>
        <v>#REF!</v>
      </c>
      <c r="H307" s="392"/>
      <c r="I307" s="392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poste3</v>
      </c>
      <c r="E308" s="107" t="s">
        <v>192</v>
      </c>
      <c r="F308" s="108">
        <f t="shared" ref="F308:F331" si="11">SUM(F307,1)</f>
        <v>127</v>
      </c>
      <c r="G308" s="392" t="e">
        <f>#REF!</f>
        <v>#REF!</v>
      </c>
      <c r="H308" s="392"/>
      <c r="I308" s="392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poste3</v>
      </c>
      <c r="E309" s="107" t="s">
        <v>192</v>
      </c>
      <c r="F309" s="108">
        <f t="shared" si="11"/>
        <v>128</v>
      </c>
      <c r="G309" s="392" t="e">
        <f>#REF!</f>
        <v>#REF!</v>
      </c>
      <c r="H309" s="392"/>
      <c r="I309" s="392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poste3</v>
      </c>
      <c r="E310" s="107" t="s">
        <v>192</v>
      </c>
      <c r="F310" s="108">
        <f t="shared" si="11"/>
        <v>129</v>
      </c>
      <c r="G310" s="392" t="e">
        <f>#REF!</f>
        <v>#REF!</v>
      </c>
      <c r="H310" s="392"/>
      <c r="I310" s="392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poste3</v>
      </c>
      <c r="E311" s="107" t="s">
        <v>192</v>
      </c>
      <c r="F311" s="108">
        <f t="shared" si="11"/>
        <v>130</v>
      </c>
      <c r="G311" s="392" t="e">
        <f>#REF!</f>
        <v>#REF!</v>
      </c>
      <c r="H311" s="392"/>
      <c r="I311" s="392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poste3</v>
      </c>
      <c r="E312" s="107" t="s">
        <v>192</v>
      </c>
      <c r="F312" s="108">
        <f t="shared" si="11"/>
        <v>131</v>
      </c>
      <c r="G312" s="392" t="e">
        <f>#REF!</f>
        <v>#REF!</v>
      </c>
      <c r="H312" s="392"/>
      <c r="I312" s="392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poste3</v>
      </c>
      <c r="E313" s="107" t="s">
        <v>192</v>
      </c>
      <c r="F313" s="108">
        <f t="shared" si="11"/>
        <v>132</v>
      </c>
      <c r="G313" s="392" t="e">
        <f>#REF!</f>
        <v>#REF!</v>
      </c>
      <c r="H313" s="392"/>
      <c r="I313" s="392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poste3</v>
      </c>
      <c r="E314" s="107" t="s">
        <v>192</v>
      </c>
      <c r="F314" s="108">
        <f t="shared" si="11"/>
        <v>133</v>
      </c>
      <c r="G314" s="392" t="e">
        <f>#REF!</f>
        <v>#REF!</v>
      </c>
      <c r="H314" s="392"/>
      <c r="I314" s="392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poste3</v>
      </c>
      <c r="E315" s="107" t="s">
        <v>192</v>
      </c>
      <c r="F315" s="108">
        <f t="shared" si="11"/>
        <v>134</v>
      </c>
      <c r="G315" s="392" t="e">
        <f>#REF!</f>
        <v>#REF!</v>
      </c>
      <c r="H315" s="392"/>
      <c r="I315" s="392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poste3</v>
      </c>
      <c r="E316" s="107" t="s">
        <v>192</v>
      </c>
      <c r="F316" s="108">
        <f t="shared" si="11"/>
        <v>135</v>
      </c>
      <c r="G316" s="392" t="e">
        <f>#REF!</f>
        <v>#REF!</v>
      </c>
      <c r="H316" s="392"/>
      <c r="I316" s="392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poste3</v>
      </c>
      <c r="E317" s="107" t="s">
        <v>192</v>
      </c>
      <c r="F317" s="108">
        <f t="shared" si="11"/>
        <v>136</v>
      </c>
      <c r="G317" s="392" t="e">
        <f>#REF!</f>
        <v>#REF!</v>
      </c>
      <c r="H317" s="392"/>
      <c r="I317" s="392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poste3</v>
      </c>
      <c r="E318" s="107" t="s">
        <v>192</v>
      </c>
      <c r="F318" s="108">
        <f t="shared" si="11"/>
        <v>137</v>
      </c>
      <c r="G318" s="392" t="e">
        <f>#REF!</f>
        <v>#REF!</v>
      </c>
      <c r="H318" s="392"/>
      <c r="I318" s="392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poste3</v>
      </c>
      <c r="E319" s="107" t="s">
        <v>192</v>
      </c>
      <c r="F319" s="108">
        <f t="shared" si="11"/>
        <v>138</v>
      </c>
      <c r="G319" s="392" t="e">
        <f>#REF!</f>
        <v>#REF!</v>
      </c>
      <c r="H319" s="392"/>
      <c r="I319" s="392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poste3</v>
      </c>
      <c r="E320" s="107" t="s">
        <v>192</v>
      </c>
      <c r="F320" s="108">
        <f t="shared" si="11"/>
        <v>139</v>
      </c>
      <c r="G320" s="392" t="e">
        <f>#REF!</f>
        <v>#REF!</v>
      </c>
      <c r="H320" s="392"/>
      <c r="I320" s="392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poste3</v>
      </c>
      <c r="E321" s="107" t="s">
        <v>192</v>
      </c>
      <c r="F321" s="108">
        <f t="shared" si="11"/>
        <v>140</v>
      </c>
      <c r="G321" s="392" t="e">
        <f>#REF!</f>
        <v>#REF!</v>
      </c>
      <c r="H321" s="392"/>
      <c r="I321" s="392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poste3</v>
      </c>
      <c r="E322" s="107" t="s">
        <v>192</v>
      </c>
      <c r="F322" s="108">
        <f t="shared" si="11"/>
        <v>141</v>
      </c>
      <c r="G322" s="392" t="e">
        <f>#REF!</f>
        <v>#REF!</v>
      </c>
      <c r="H322" s="392"/>
      <c r="I322" s="392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poste3</v>
      </c>
      <c r="E323" s="107" t="s">
        <v>192</v>
      </c>
      <c r="F323" s="108">
        <f t="shared" si="11"/>
        <v>142</v>
      </c>
      <c r="G323" s="392" t="e">
        <f>#REF!</f>
        <v>#REF!</v>
      </c>
      <c r="H323" s="392"/>
      <c r="I323" s="392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poste3</v>
      </c>
      <c r="E324" s="107" t="s">
        <v>192</v>
      </c>
      <c r="F324" s="108">
        <f t="shared" si="11"/>
        <v>143</v>
      </c>
      <c r="G324" s="392" t="e">
        <f>#REF!</f>
        <v>#REF!</v>
      </c>
      <c r="H324" s="392"/>
      <c r="I324" s="392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poste3</v>
      </c>
      <c r="E325" s="107" t="s">
        <v>192</v>
      </c>
      <c r="F325" s="108">
        <f t="shared" si="11"/>
        <v>144</v>
      </c>
      <c r="G325" s="392" t="e">
        <f>#REF!</f>
        <v>#REF!</v>
      </c>
      <c r="H325" s="392"/>
      <c r="I325" s="392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poste3</v>
      </c>
      <c r="E326" s="107" t="s">
        <v>192</v>
      </c>
      <c r="F326" s="108">
        <f t="shared" si="11"/>
        <v>145</v>
      </c>
      <c r="G326" s="392" t="e">
        <f>#REF!</f>
        <v>#REF!</v>
      </c>
      <c r="H326" s="392"/>
      <c r="I326" s="392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poste3</v>
      </c>
      <c r="E327" s="107" t="s">
        <v>192</v>
      </c>
      <c r="F327" s="108">
        <f t="shared" si="11"/>
        <v>146</v>
      </c>
      <c r="G327" s="392" t="e">
        <f>#REF!</f>
        <v>#REF!</v>
      </c>
      <c r="H327" s="392"/>
      <c r="I327" s="392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poste3</v>
      </c>
      <c r="E328" s="107" t="s">
        <v>192</v>
      </c>
      <c r="F328" s="108">
        <f t="shared" si="11"/>
        <v>147</v>
      </c>
      <c r="G328" s="392" t="e">
        <f>#REF!</f>
        <v>#REF!</v>
      </c>
      <c r="H328" s="392"/>
      <c r="I328" s="392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poste3</v>
      </c>
      <c r="E329" s="107" t="s">
        <v>192</v>
      </c>
      <c r="F329" s="108">
        <f t="shared" si="11"/>
        <v>148</v>
      </c>
      <c r="G329" s="392" t="e">
        <f>#REF!</f>
        <v>#REF!</v>
      </c>
      <c r="H329" s="392"/>
      <c r="I329" s="392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poste3</v>
      </c>
      <c r="E330" s="107" t="s">
        <v>192</v>
      </c>
      <c r="F330" s="108">
        <f t="shared" si="11"/>
        <v>149</v>
      </c>
      <c r="G330" s="392" t="e">
        <f>#REF!</f>
        <v>#REF!</v>
      </c>
      <c r="H330" s="392"/>
      <c r="I330" s="392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poste3</v>
      </c>
      <c r="E331" s="107" t="s">
        <v>192</v>
      </c>
      <c r="F331" s="108">
        <f t="shared" si="11"/>
        <v>150</v>
      </c>
      <c r="G331" s="392" t="e">
        <f>#REF!</f>
        <v>#REF!</v>
      </c>
      <c r="H331" s="392"/>
      <c r="I331" s="392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6" t="s">
        <v>193</v>
      </c>
      <c r="B333" s="386"/>
      <c r="C333" s="386"/>
      <c r="D333" s="386"/>
      <c r="E333" s="386"/>
      <c r="F333" s="386"/>
      <c r="G333" s="386"/>
      <c r="H333" s="386"/>
      <c r="I333" s="386"/>
      <c r="J333" s="386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7" t="s">
        <v>194</v>
      </c>
      <c r="B334" s="387"/>
      <c r="C334" s="387"/>
      <c r="D334" s="387"/>
      <c r="E334" s="387"/>
      <c r="F334" s="387"/>
      <c r="G334" s="387"/>
      <c r="H334" s="387"/>
      <c r="I334" s="388" t="s">
        <v>195</v>
      </c>
      <c r="J334" s="388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90" t="s">
        <v>196</v>
      </c>
      <c r="B335" s="390"/>
      <c r="C335" s="390"/>
      <c r="D335" s="390"/>
      <c r="E335" s="390"/>
      <c r="F335" s="390"/>
      <c r="G335" s="390"/>
      <c r="H335" s="390"/>
      <c r="I335" s="390"/>
      <c r="J335" s="390"/>
      <c r="K335" s="391" t="e">
        <f>K334+L334-M334</f>
        <v>#REF!</v>
      </c>
      <c r="L335" s="391"/>
      <c r="M335" s="391"/>
    </row>
    <row r="336" spans="1:13" ht="23.25" customHeight="1">
      <c r="A336" s="396" t="s">
        <v>198</v>
      </c>
      <c r="B336" s="396"/>
      <c r="C336" s="396"/>
      <c r="D336" s="396"/>
      <c r="E336" s="396"/>
      <c r="F336" s="396"/>
      <c r="G336" s="396"/>
      <c r="H336" s="396"/>
      <c r="I336" s="115">
        <f>$H$15</f>
        <v>2013</v>
      </c>
      <c r="J336" s="115"/>
      <c r="K336" s="116"/>
      <c r="L336" s="116"/>
      <c r="M336" s="116"/>
    </row>
    <row r="337" spans="1:13" ht="12" customHeight="1">
      <c r="A337" s="397"/>
      <c r="B337" s="397"/>
      <c r="C337" s="397"/>
      <c r="D337" s="397"/>
      <c r="E337" s="397"/>
      <c r="F337" s="397"/>
      <c r="G337" s="397"/>
      <c r="H337" s="397"/>
      <c r="I337" s="397"/>
      <c r="J337" s="397"/>
      <c r="K337" s="397"/>
      <c r="L337" s="397"/>
      <c r="M337" s="397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8">
        <f>$H$22</f>
        <v>40515</v>
      </c>
      <c r="F339" s="398"/>
      <c r="G339" s="399" t="s">
        <v>200</v>
      </c>
      <c r="H339" s="399"/>
      <c r="I339" s="399"/>
      <c r="J339" s="399"/>
      <c r="K339" s="399"/>
      <c r="L339" s="400">
        <f>$I$31</f>
        <v>0</v>
      </c>
      <c r="M339" s="400"/>
    </row>
    <row r="340" spans="1:13">
      <c r="A340" s="393" t="s">
        <v>201</v>
      </c>
      <c r="B340" s="393"/>
      <c r="C340" s="393"/>
      <c r="D340" s="393"/>
      <c r="E340" s="393"/>
      <c r="F340" s="393"/>
      <c r="G340" s="393"/>
      <c r="H340" s="393"/>
      <c r="I340" s="393"/>
      <c r="J340" s="393"/>
      <c r="K340" s="394">
        <f>$C$52</f>
        <v>0.5</v>
      </c>
      <c r="L340" s="394"/>
      <c r="M340" s="120" t="s">
        <v>12</v>
      </c>
    </row>
    <row r="341" spans="1:13">
      <c r="A341" s="393" t="s">
        <v>202</v>
      </c>
      <c r="B341" s="393"/>
      <c r="C341" s="393"/>
      <c r="D341" s="393"/>
      <c r="E341" s="393"/>
      <c r="F341" s="393"/>
      <c r="G341" s="393"/>
      <c r="H341" s="393"/>
      <c r="I341" s="393"/>
      <c r="J341" s="393"/>
      <c r="K341" s="394">
        <f>$L$36</f>
        <v>0</v>
      </c>
      <c r="L341" s="394"/>
      <c r="M341" s="120" t="s">
        <v>12</v>
      </c>
    </row>
    <row r="342" spans="1:13">
      <c r="A342" s="393" t="s">
        <v>203</v>
      </c>
      <c r="B342" s="393"/>
      <c r="C342" s="393"/>
      <c r="D342" s="393"/>
      <c r="E342" s="395"/>
      <c r="F342" s="395"/>
      <c r="G342" s="393"/>
      <c r="H342" s="393"/>
      <c r="I342" s="393"/>
      <c r="J342" s="393"/>
      <c r="K342" s="393"/>
      <c r="L342" s="270"/>
      <c r="M342" s="270"/>
    </row>
    <row r="343" spans="1:13">
      <c r="A343" s="393" t="s">
        <v>204</v>
      </c>
      <c r="B343" s="393"/>
      <c r="C343" s="393"/>
      <c r="D343" s="393"/>
      <c r="E343" s="393"/>
      <c r="F343" s="393"/>
      <c r="G343" s="393"/>
      <c r="H343" s="393"/>
      <c r="I343" s="393"/>
      <c r="J343" s="393"/>
      <c r="K343" s="403">
        <f>SUM(J307:J331,J273:J297,J239:J263,J204:J228,J170:J194,J136:J160)</f>
        <v>0</v>
      </c>
      <c r="L343" s="403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4" t="s">
        <v>205</v>
      </c>
      <c r="B345" s="404"/>
      <c r="C345" s="404"/>
      <c r="D345" s="404"/>
      <c r="E345" s="404"/>
      <c r="F345" s="404"/>
      <c r="G345" s="404"/>
      <c r="H345" s="404"/>
      <c r="I345" s="404"/>
      <c r="J345" s="404"/>
      <c r="K345" s="404"/>
      <c r="L345" s="404"/>
      <c r="M345" s="404"/>
    </row>
    <row r="346" spans="1:13" ht="18" customHeight="1">
      <c r="A346" s="404"/>
      <c r="B346" s="404"/>
      <c r="C346" s="404"/>
      <c r="D346" s="404"/>
      <c r="E346" s="404"/>
      <c r="F346" s="404"/>
      <c r="G346" s="404"/>
      <c r="H346" s="404"/>
      <c r="I346" s="404"/>
      <c r="J346" s="404"/>
      <c r="K346" s="404"/>
      <c r="L346" s="404"/>
      <c r="M346" s="404"/>
    </row>
    <row r="347" spans="1:13" ht="12" customHeight="1">
      <c r="A347" s="405"/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</row>
    <row r="348" spans="1:13">
      <c r="A348" s="124" t="s">
        <v>206</v>
      </c>
      <c r="B348" s="406" t="s">
        <v>207</v>
      </c>
      <c r="C348" s="406"/>
      <c r="D348" s="406"/>
      <c r="E348" s="406"/>
      <c r="F348" s="406"/>
      <c r="G348" s="406"/>
      <c r="H348" s="406"/>
      <c r="I348" s="406"/>
      <c r="J348" s="406"/>
      <c r="K348" s="406"/>
      <c r="L348" s="406"/>
      <c r="M348" s="406"/>
    </row>
    <row r="349" spans="1:13">
      <c r="A349" s="125" t="s">
        <v>208</v>
      </c>
      <c r="B349" s="401" t="s">
        <v>209</v>
      </c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</row>
    <row r="350" spans="1:13">
      <c r="A350" s="125" t="s">
        <v>210</v>
      </c>
      <c r="B350" s="401" t="s">
        <v>211</v>
      </c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</row>
    <row r="351" spans="1:13">
      <c r="A351" s="125" t="s">
        <v>212</v>
      </c>
      <c r="B351" s="401" t="s">
        <v>213</v>
      </c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402" t="s">
        <v>216</v>
      </c>
      <c r="K352" s="402"/>
      <c r="L352" s="402"/>
      <c r="M352" s="402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402" t="s">
        <v>219</v>
      </c>
      <c r="K353" s="402"/>
      <c r="L353" s="402"/>
      <c r="M353" s="402"/>
    </row>
    <row r="354" spans="1:13" ht="14.25">
      <c r="A354" s="126"/>
      <c r="B354" s="414" t="s">
        <v>220</v>
      </c>
      <c r="C354" s="414"/>
      <c r="D354" s="414"/>
      <c r="E354" s="414"/>
      <c r="F354" s="414"/>
      <c r="G354" s="414"/>
      <c r="H354" s="414"/>
      <c r="I354" s="414"/>
      <c r="J354" s="414"/>
      <c r="K354" s="414"/>
      <c r="L354" s="414"/>
      <c r="M354" s="414"/>
    </row>
    <row r="355" spans="1:13">
      <c r="A355" s="127" t="s">
        <v>221</v>
      </c>
      <c r="B355" s="415" t="s">
        <v>222</v>
      </c>
      <c r="C355" s="415"/>
      <c r="D355" s="415"/>
      <c r="E355" s="415"/>
      <c r="F355" s="415"/>
      <c r="G355" s="415"/>
      <c r="H355" s="415"/>
      <c r="I355" s="415"/>
      <c r="J355" s="416" t="s">
        <v>223</v>
      </c>
      <c r="K355" s="416"/>
      <c r="L355" s="416"/>
      <c r="M355" s="416"/>
    </row>
    <row r="356" spans="1:13">
      <c r="A356" s="417"/>
      <c r="B356" s="417"/>
      <c r="C356" s="417"/>
      <c r="D356" s="417"/>
      <c r="E356" s="417"/>
      <c r="F356" s="417"/>
      <c r="G356" s="417"/>
      <c r="H356" s="417"/>
      <c r="I356" s="417"/>
      <c r="J356" s="417"/>
      <c r="K356" s="417"/>
      <c r="L356" s="417"/>
      <c r="M356" s="417"/>
    </row>
    <row r="357" spans="1:13" ht="20.25">
      <c r="A357" s="418" t="s">
        <v>198</v>
      </c>
      <c r="B357" s="418"/>
      <c r="C357" s="418"/>
      <c r="D357" s="418"/>
      <c r="E357" s="418"/>
      <c r="F357" s="418"/>
      <c r="G357" s="418"/>
      <c r="H357" s="418"/>
      <c r="I357" s="128">
        <f>$H$15</f>
        <v>2013</v>
      </c>
      <c r="J357" s="128"/>
      <c r="K357" s="129"/>
      <c r="L357" s="130"/>
      <c r="M357" s="131"/>
    </row>
    <row r="358" spans="1:13" ht="12" customHeight="1">
      <c r="A358" s="419"/>
      <c r="B358" s="419"/>
      <c r="C358" s="419"/>
      <c r="D358" s="419"/>
      <c r="E358" s="419"/>
      <c r="F358" s="419"/>
      <c r="G358" s="419"/>
      <c r="H358" s="419"/>
      <c r="I358" s="419"/>
      <c r="J358" s="419"/>
      <c r="K358" s="419"/>
      <c r="L358" s="419"/>
      <c r="M358" s="419"/>
    </row>
    <row r="359" spans="1:13" ht="36.75" customHeight="1">
      <c r="A359" s="407" t="s">
        <v>224</v>
      </c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</row>
    <row r="360" spans="1:13" ht="12" customHeight="1">
      <c r="A360" s="408"/>
      <c r="B360" s="408"/>
      <c r="C360" s="408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</row>
    <row r="361" spans="1:13" hidden="1">
      <c r="A361" s="409"/>
      <c r="B361" s="409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10" t="s">
        <v>225</v>
      </c>
      <c r="B362" s="410"/>
      <c r="C362" s="137" t="s">
        <v>226</v>
      </c>
      <c r="D362" s="138" t="s">
        <v>227</v>
      </c>
      <c r="E362" s="411" t="s">
        <v>228</v>
      </c>
      <c r="F362" s="411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12" t="s">
        <v>235</v>
      </c>
      <c r="B363" s="412"/>
      <c r="C363" s="142"/>
      <c r="D363" s="143"/>
      <c r="E363" s="413">
        <f>D363</f>
        <v>0</v>
      </c>
      <c r="F363" s="413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12" t="s">
        <v>236</v>
      </c>
      <c r="B364" s="412"/>
      <c r="C364" s="142"/>
      <c r="D364" s="143"/>
      <c r="E364" s="413">
        <f t="shared" ref="E364:E374" si="12">E363+D364</f>
        <v>0</v>
      </c>
      <c r="F364" s="413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12" t="s">
        <v>237</v>
      </c>
      <c r="B365" s="412"/>
      <c r="C365" s="142"/>
      <c r="D365" s="143"/>
      <c r="E365" s="413">
        <f t="shared" si="12"/>
        <v>0</v>
      </c>
      <c r="F365" s="413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12" t="s">
        <v>238</v>
      </c>
      <c r="B366" s="412"/>
      <c r="C366" s="142"/>
      <c r="D366" s="143"/>
      <c r="E366" s="413">
        <f t="shared" si="12"/>
        <v>0</v>
      </c>
      <c r="F366" s="413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12" t="s">
        <v>239</v>
      </c>
      <c r="B367" s="412"/>
      <c r="C367" s="142"/>
      <c r="D367" s="143"/>
      <c r="E367" s="413">
        <f t="shared" si="12"/>
        <v>0</v>
      </c>
      <c r="F367" s="413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12" t="s">
        <v>240</v>
      </c>
      <c r="B368" s="412"/>
      <c r="C368" s="142"/>
      <c r="D368" s="143"/>
      <c r="E368" s="413">
        <f t="shared" si="12"/>
        <v>0</v>
      </c>
      <c r="F368" s="413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12" t="s">
        <v>241</v>
      </c>
      <c r="B369" s="412"/>
      <c r="C369" s="142"/>
      <c r="D369" s="143"/>
      <c r="E369" s="413">
        <f t="shared" si="12"/>
        <v>0</v>
      </c>
      <c r="F369" s="413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12" t="s">
        <v>242</v>
      </c>
      <c r="B370" s="412"/>
      <c r="C370" s="142"/>
      <c r="D370" s="143"/>
      <c r="E370" s="413">
        <f t="shared" si="12"/>
        <v>0</v>
      </c>
      <c r="F370" s="413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12" t="s">
        <v>243</v>
      </c>
      <c r="B371" s="412"/>
      <c r="C371" s="142"/>
      <c r="D371" s="143"/>
      <c r="E371" s="413">
        <f t="shared" si="12"/>
        <v>0</v>
      </c>
      <c r="F371" s="413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5" t="s">
        <v>244</v>
      </c>
      <c r="B372" s="425"/>
      <c r="C372" s="148"/>
      <c r="D372" s="149"/>
      <c r="E372" s="426">
        <f t="shared" si="12"/>
        <v>0</v>
      </c>
      <c r="F372" s="426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20" t="s">
        <v>245</v>
      </c>
      <c r="B373" s="420"/>
      <c r="C373" s="154"/>
      <c r="D373" s="155"/>
      <c r="E373" s="421">
        <f t="shared" si="12"/>
        <v>0</v>
      </c>
      <c r="F373" s="421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12" t="s">
        <v>246</v>
      </c>
      <c r="B374" s="412"/>
      <c r="C374" s="142"/>
      <c r="D374" s="143"/>
      <c r="E374" s="413">
        <f t="shared" si="12"/>
        <v>0</v>
      </c>
      <c r="F374" s="413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</row>
    <row r="376" spans="1:13" ht="12" customHeight="1">
      <c r="A376" s="423" t="s">
        <v>247</v>
      </c>
      <c r="B376" s="423"/>
      <c r="C376" s="423"/>
      <c r="D376" s="423"/>
      <c r="E376" s="423"/>
      <c r="F376" s="160">
        <f>SUM(D363:D374)</f>
        <v>0</v>
      </c>
      <c r="G376" s="161" t="s">
        <v>12</v>
      </c>
      <c r="H376" s="424" t="s">
        <v>248</v>
      </c>
      <c r="I376" s="424"/>
      <c r="J376" s="424"/>
      <c r="K376" s="424"/>
      <c r="L376" s="162" t="e">
        <f>$L$374</f>
        <v>#DIV/0!</v>
      </c>
      <c r="M376" s="163" t="s">
        <v>84</v>
      </c>
    </row>
    <row r="377" spans="1:13" ht="12" customHeight="1">
      <c r="A377" s="432" t="s">
        <v>249</v>
      </c>
      <c r="B377" s="432"/>
      <c r="C377" s="432"/>
      <c r="D377" s="432"/>
      <c r="E377" s="432"/>
      <c r="F377" s="164">
        <f>SUM(F376,K341)</f>
        <v>0</v>
      </c>
      <c r="G377" s="165" t="s">
        <v>12</v>
      </c>
      <c r="H377" s="433" t="s">
        <v>250</v>
      </c>
      <c r="I377" s="433"/>
      <c r="J377" s="433"/>
      <c r="K377" s="433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4" t="s">
        <v>251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</row>
    <row r="381" spans="1:13" ht="409.5" customHeight="1">
      <c r="A381" s="435"/>
      <c r="B381" s="435"/>
      <c r="C381" s="435"/>
      <c r="D381" s="435"/>
      <c r="E381" s="435"/>
      <c r="F381" s="435"/>
      <c r="G381" s="435"/>
      <c r="H381" s="435"/>
      <c r="I381" s="435"/>
      <c r="J381" s="435"/>
      <c r="K381" s="435"/>
      <c r="L381" s="435"/>
      <c r="M381" s="4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7" t="s">
        <v>252</v>
      </c>
      <c r="B383" s="427"/>
      <c r="C383" s="427"/>
      <c r="D383" s="427"/>
      <c r="E383" s="427"/>
      <c r="F383" s="427"/>
      <c r="G383" s="427"/>
      <c r="H383" s="427"/>
      <c r="I383" s="427"/>
      <c r="J383" s="175"/>
      <c r="K383" s="176">
        <v>15</v>
      </c>
      <c r="L383" s="177" t="s">
        <v>84</v>
      </c>
      <c r="M383" s="173"/>
    </row>
    <row r="384" spans="1:13">
      <c r="A384" s="427" t="s">
        <v>253</v>
      </c>
      <c r="B384" s="427"/>
      <c r="C384" s="427"/>
      <c r="D384" s="427"/>
      <c r="E384" s="427"/>
      <c r="F384" s="427"/>
      <c r="G384" s="427"/>
      <c r="H384" s="427"/>
      <c r="I384" s="427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8" t="s">
        <v>254</v>
      </c>
      <c r="B386" s="428"/>
      <c r="C386" s="428"/>
      <c r="D386" s="428"/>
      <c r="E386" s="428"/>
      <c r="F386" s="428"/>
      <c r="G386" s="428"/>
      <c r="H386" s="428"/>
      <c r="I386" s="428"/>
      <c r="J386" s="428"/>
      <c r="K386" s="428"/>
      <c r="L386" s="428"/>
      <c r="M386" s="428"/>
    </row>
    <row r="387" spans="1:13" ht="27.95" customHeight="1">
      <c r="A387" s="429" t="s">
        <v>255</v>
      </c>
      <c r="B387" s="429"/>
      <c r="C387" s="430" t="s">
        <v>256</v>
      </c>
      <c r="D387" s="430"/>
      <c r="E387" s="430" t="s">
        <v>257</v>
      </c>
      <c r="F387" s="430"/>
      <c r="G387" s="430"/>
      <c r="H387" s="431" t="s">
        <v>165</v>
      </c>
      <c r="I387" s="431"/>
      <c r="J387" s="431"/>
      <c r="K387" s="431"/>
      <c r="L387" s="431"/>
      <c r="M387" s="431"/>
    </row>
    <row r="388" spans="1:13" ht="27.95" customHeight="1">
      <c r="A388" s="429" t="s">
        <v>258</v>
      </c>
      <c r="B388" s="429"/>
      <c r="C388" s="437"/>
      <c r="D388" s="437"/>
      <c r="E388" s="430"/>
      <c r="F388" s="430"/>
      <c r="G388" s="430"/>
      <c r="H388" s="438"/>
      <c r="I388" s="438"/>
      <c r="J388" s="438"/>
      <c r="K388" s="438"/>
      <c r="L388" s="438"/>
      <c r="M388" s="438"/>
    </row>
    <row r="389" spans="1:13" ht="27.95" customHeight="1">
      <c r="A389" s="429" t="s">
        <v>259</v>
      </c>
      <c r="B389" s="429"/>
      <c r="C389" s="437"/>
      <c r="D389" s="437"/>
      <c r="E389" s="430"/>
      <c r="F389" s="430"/>
      <c r="G389" s="430"/>
      <c r="H389" s="438"/>
      <c r="I389" s="438"/>
      <c r="J389" s="438"/>
      <c r="K389" s="438"/>
      <c r="L389" s="438"/>
      <c r="M389" s="438"/>
    </row>
    <row r="390" spans="1:13" ht="27.95" customHeight="1">
      <c r="A390" s="436" t="s">
        <v>260</v>
      </c>
      <c r="B390" s="436"/>
      <c r="C390" s="437"/>
      <c r="D390" s="437"/>
      <c r="E390" s="430"/>
      <c r="F390" s="430"/>
      <c r="G390" s="430"/>
      <c r="H390" s="438"/>
      <c r="I390" s="438"/>
      <c r="J390" s="438"/>
      <c r="K390" s="438"/>
      <c r="L390" s="438"/>
      <c r="M390" s="438"/>
    </row>
    <row r="391" spans="1:13" ht="27.95" customHeight="1" thickBot="1">
      <c r="A391" s="439" t="s">
        <v>261</v>
      </c>
      <c r="B391" s="439"/>
      <c r="C391" s="440"/>
      <c r="D391" s="440"/>
      <c r="E391" s="441"/>
      <c r="F391" s="441"/>
      <c r="G391" s="441"/>
      <c r="H391" s="442"/>
      <c r="I391" s="442"/>
      <c r="J391" s="442"/>
      <c r="K391" s="442"/>
      <c r="L391" s="442"/>
      <c r="M391" s="442"/>
    </row>
    <row r="392" spans="1:13" ht="21" thickBot="1">
      <c r="A392" s="449" t="s">
        <v>262</v>
      </c>
      <c r="B392" s="449"/>
      <c r="C392" s="449"/>
      <c r="D392" s="449"/>
      <c r="E392" s="449"/>
      <c r="F392" s="449"/>
      <c r="G392" s="449"/>
      <c r="H392" s="449"/>
      <c r="I392" s="449"/>
      <c r="J392" s="449"/>
      <c r="K392" s="449"/>
      <c r="L392" s="449"/>
      <c r="M392" s="449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50"/>
      <c r="M393" s="450"/>
    </row>
    <row r="394" spans="1:13">
      <c r="A394" s="451"/>
      <c r="B394" s="451"/>
      <c r="C394" s="451"/>
      <c r="D394" s="451"/>
      <c r="E394" s="451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4" t="s">
        <v>264</v>
      </c>
      <c r="B395" s="444"/>
      <c r="C395" s="452"/>
      <c r="D395" s="452"/>
      <c r="E395" s="452"/>
      <c r="F395" s="182"/>
      <c r="G395" s="446" t="s">
        <v>265</v>
      </c>
      <c r="H395" s="446"/>
      <c r="I395" s="446"/>
      <c r="J395" s="446"/>
      <c r="K395" s="446"/>
      <c r="L395" s="447"/>
      <c r="M395" s="447"/>
    </row>
    <row r="396" spans="1:13" ht="9.9499999999999993" customHeight="1">
      <c r="A396" s="443"/>
      <c r="B396" s="443"/>
      <c r="C396" s="443"/>
      <c r="D396" s="443"/>
      <c r="E396" s="443"/>
      <c r="F396" s="443"/>
      <c r="G396" s="443"/>
      <c r="H396" s="443"/>
      <c r="I396" s="443"/>
      <c r="J396" s="443"/>
      <c r="K396" s="443"/>
      <c r="L396" s="443"/>
      <c r="M396" s="443"/>
    </row>
    <row r="397" spans="1:13">
      <c r="A397" s="444" t="s">
        <v>266</v>
      </c>
      <c r="B397" s="444"/>
      <c r="C397" s="445"/>
      <c r="D397" s="445"/>
      <c r="E397" s="445"/>
      <c r="F397" s="182"/>
      <c r="G397" s="446" t="s">
        <v>267</v>
      </c>
      <c r="H397" s="446"/>
      <c r="I397" s="446"/>
      <c r="J397" s="446"/>
      <c r="K397" s="446"/>
      <c r="L397" s="447"/>
      <c r="M397" s="447"/>
    </row>
    <row r="398" spans="1:13" ht="9.9499999999999993" customHeight="1" thickBot="1">
      <c r="A398" s="448"/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8" t="s">
        <v>146</v>
      </c>
      <c r="B400" s="458"/>
      <c r="C400" s="458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9" t="s">
        <v>268</v>
      </c>
      <c r="B401" s="459"/>
      <c r="C401" s="459"/>
      <c r="D401" s="460" t="s">
        <v>148</v>
      </c>
      <c r="E401" s="460"/>
      <c r="F401" s="460"/>
      <c r="G401" s="460"/>
      <c r="H401" s="461" t="s">
        <v>269</v>
      </c>
      <c r="I401" s="461"/>
      <c r="J401" s="461"/>
      <c r="K401" s="461"/>
      <c r="L401" s="461"/>
      <c r="M401" s="461"/>
    </row>
    <row r="402" spans="1:13">
      <c r="A402" s="462"/>
      <c r="B402" s="462"/>
      <c r="C402" s="462"/>
      <c r="D402" s="463"/>
      <c r="E402" s="463"/>
      <c r="F402" s="463"/>
      <c r="G402" s="463"/>
      <c r="H402" s="464"/>
      <c r="I402" s="464"/>
      <c r="J402" s="464"/>
      <c r="K402" s="464"/>
      <c r="L402" s="464"/>
      <c r="M402" s="464"/>
    </row>
    <row r="403" spans="1:13">
      <c r="A403" s="183" t="s">
        <v>59</v>
      </c>
      <c r="B403" s="453"/>
      <c r="C403" s="453"/>
      <c r="D403" s="454" t="s">
        <v>270</v>
      </c>
      <c r="E403" s="454"/>
      <c r="F403" s="453"/>
      <c r="G403" s="453"/>
      <c r="H403" s="455" t="s">
        <v>271</v>
      </c>
      <c r="I403" s="455"/>
      <c r="J403" s="455"/>
      <c r="K403" s="455"/>
      <c r="L403" s="455"/>
      <c r="M403" s="455"/>
    </row>
    <row r="404" spans="1:13" ht="13.5" thickBot="1">
      <c r="A404" s="456"/>
      <c r="B404" s="456"/>
      <c r="C404" s="456"/>
      <c r="D404" s="457" t="s">
        <v>156</v>
      </c>
      <c r="E404" s="457"/>
      <c r="F404" s="457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70"/>
      <c r="B407" s="470"/>
      <c r="C407" s="470"/>
      <c r="D407" s="188" t="s">
        <v>163</v>
      </c>
      <c r="E407" s="188"/>
      <c r="F407" s="188" t="s">
        <v>164</v>
      </c>
      <c r="G407" s="471" t="s">
        <v>165</v>
      </c>
      <c r="H407" s="471"/>
      <c r="I407" s="471"/>
      <c r="J407" s="471"/>
      <c r="K407" s="471"/>
      <c r="L407" s="471"/>
      <c r="M407" s="471"/>
    </row>
    <row r="408" spans="1:13" ht="39.75" customHeight="1">
      <c r="A408" s="472" t="s">
        <v>273</v>
      </c>
      <c r="B408" s="472"/>
      <c r="C408" s="472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3" t="s">
        <v>274</v>
      </c>
      <c r="B409" s="473"/>
      <c r="C409" s="473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5" t="s">
        <v>174</v>
      </c>
      <c r="B411" s="465"/>
      <c r="C411" s="465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6" t="s">
        <v>275</v>
      </c>
      <c r="B412" s="466"/>
      <c r="C412" s="466"/>
      <c r="D412" s="189"/>
      <c r="E412" s="189"/>
      <c r="F412" s="189"/>
      <c r="G412" s="467"/>
      <c r="H412" s="467"/>
      <c r="I412" s="467"/>
      <c r="J412" s="467"/>
      <c r="K412" s="467"/>
      <c r="L412" s="467"/>
      <c r="M412" s="467"/>
    </row>
    <row r="413" spans="1:13">
      <c r="A413" s="468" t="s">
        <v>276</v>
      </c>
      <c r="B413" s="468"/>
      <c r="C413" s="468"/>
      <c r="D413" s="190"/>
      <c r="E413" s="190"/>
      <c r="F413" s="190"/>
      <c r="G413" s="469"/>
      <c r="H413" s="469"/>
      <c r="I413" s="469"/>
      <c r="J413" s="469"/>
      <c r="K413" s="469"/>
      <c r="L413" s="469"/>
      <c r="M413" s="469"/>
    </row>
    <row r="414" spans="1:13">
      <c r="A414" s="468" t="s">
        <v>277</v>
      </c>
      <c r="B414" s="468"/>
      <c r="C414" s="468"/>
      <c r="D414" s="190"/>
      <c r="E414" s="190"/>
      <c r="F414" s="190"/>
      <c r="G414" s="469"/>
      <c r="H414" s="469"/>
      <c r="I414" s="469"/>
      <c r="J414" s="469"/>
      <c r="K414" s="469"/>
      <c r="L414" s="469"/>
      <c r="M414" s="469"/>
    </row>
    <row r="415" spans="1:13">
      <c r="A415" s="468" t="s">
        <v>278</v>
      </c>
      <c r="B415" s="468"/>
      <c r="C415" s="468"/>
      <c r="D415" s="190"/>
      <c r="E415" s="190"/>
      <c r="F415" s="190"/>
      <c r="G415" s="469"/>
      <c r="H415" s="469"/>
      <c r="I415" s="469"/>
      <c r="J415" s="469"/>
      <c r="K415" s="469"/>
      <c r="L415" s="469"/>
      <c r="M415" s="469"/>
    </row>
    <row r="416" spans="1:13">
      <c r="A416" s="468" t="s">
        <v>279</v>
      </c>
      <c r="B416" s="468"/>
      <c r="C416" s="468"/>
      <c r="D416" s="190"/>
      <c r="E416" s="190"/>
      <c r="F416" s="190"/>
      <c r="G416" s="469"/>
      <c r="H416" s="469"/>
      <c r="I416" s="469"/>
      <c r="J416" s="469"/>
      <c r="K416" s="469"/>
      <c r="L416" s="469"/>
      <c r="M416" s="469"/>
    </row>
    <row r="417" spans="1:13">
      <c r="A417" s="474" t="s">
        <v>280</v>
      </c>
      <c r="B417" s="474"/>
      <c r="C417" s="474"/>
      <c r="D417" s="191"/>
      <c r="E417" s="191"/>
      <c r="F417" s="191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281</v>
      </c>
      <c r="B418" s="476"/>
      <c r="C418" s="476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6" t="s">
        <v>282</v>
      </c>
      <c r="B419" s="466"/>
      <c r="C419" s="466"/>
      <c r="D419" s="189"/>
      <c r="E419" s="189"/>
      <c r="F419" s="189"/>
      <c r="G419" s="467"/>
      <c r="H419" s="467"/>
      <c r="I419" s="467"/>
      <c r="J419" s="467"/>
      <c r="K419" s="467"/>
      <c r="L419" s="467"/>
      <c r="M419" s="467"/>
    </row>
    <row r="420" spans="1:13" ht="12.95" customHeight="1">
      <c r="A420" s="477" t="s">
        <v>283</v>
      </c>
      <c r="B420" s="477"/>
      <c r="C420" s="477"/>
      <c r="D420" s="190"/>
      <c r="E420" s="190"/>
      <c r="F420" s="190"/>
      <c r="G420" s="469"/>
      <c r="H420" s="469"/>
      <c r="I420" s="469"/>
      <c r="J420" s="469"/>
      <c r="K420" s="469"/>
      <c r="L420" s="469"/>
      <c r="M420" s="469"/>
    </row>
    <row r="421" spans="1:13" ht="12.95" customHeight="1">
      <c r="A421" s="477" t="s">
        <v>284</v>
      </c>
      <c r="B421" s="477"/>
      <c r="C421" s="477"/>
      <c r="D421" s="190"/>
      <c r="E421" s="190"/>
      <c r="F421" s="190"/>
      <c r="G421" s="469"/>
      <c r="H421" s="469"/>
      <c r="I421" s="469"/>
      <c r="J421" s="469"/>
      <c r="K421" s="469"/>
      <c r="L421" s="469"/>
      <c r="M421" s="469"/>
    </row>
    <row r="422" spans="1:13" ht="22.5" customHeight="1">
      <c r="A422" s="477" t="s">
        <v>285</v>
      </c>
      <c r="B422" s="477"/>
      <c r="C422" s="477"/>
      <c r="D422" s="190"/>
      <c r="E422" s="190"/>
      <c r="F422" s="190"/>
      <c r="G422" s="469"/>
      <c r="H422" s="469"/>
      <c r="I422" s="469"/>
      <c r="J422" s="469"/>
      <c r="K422" s="469"/>
      <c r="L422" s="469"/>
      <c r="M422" s="469"/>
    </row>
    <row r="423" spans="1:13" ht="20.25" customHeight="1">
      <c r="A423" s="477" t="s">
        <v>286</v>
      </c>
      <c r="B423" s="477"/>
      <c r="C423" s="477"/>
      <c r="D423" s="190"/>
      <c r="E423" s="190"/>
      <c r="F423" s="190"/>
      <c r="G423" s="469"/>
      <c r="H423" s="469"/>
      <c r="I423" s="469"/>
      <c r="J423" s="469"/>
      <c r="K423" s="469"/>
      <c r="L423" s="469"/>
      <c r="M423" s="469"/>
    </row>
    <row r="424" spans="1:13" ht="12.95" customHeight="1">
      <c r="A424" s="478" t="s">
        <v>287</v>
      </c>
      <c r="B424" s="478"/>
      <c r="C424" s="478"/>
      <c r="D424" s="191"/>
      <c r="E424" s="191"/>
      <c r="F424" s="191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66" t="s">
        <v>288</v>
      </c>
      <c r="B425" s="466"/>
      <c r="C425" s="466"/>
      <c r="D425" s="189"/>
      <c r="E425" s="189"/>
      <c r="F425" s="189"/>
      <c r="G425" s="467"/>
      <c r="H425" s="467"/>
      <c r="I425" s="467"/>
      <c r="J425" s="467"/>
      <c r="K425" s="467"/>
      <c r="L425" s="467"/>
      <c r="M425" s="467"/>
    </row>
    <row r="426" spans="1:13" ht="12.95" customHeight="1">
      <c r="A426" s="478" t="s">
        <v>289</v>
      </c>
      <c r="B426" s="478"/>
      <c r="C426" s="478"/>
      <c r="D426" s="191"/>
      <c r="E426" s="191"/>
      <c r="F426" s="191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81" t="s">
        <v>290</v>
      </c>
      <c r="B427" s="481"/>
      <c r="C427" s="481"/>
      <c r="D427" s="190"/>
      <c r="E427" s="190"/>
      <c r="F427" s="190"/>
      <c r="G427" s="469"/>
      <c r="H427" s="469"/>
      <c r="I427" s="469"/>
      <c r="J427" s="469"/>
      <c r="K427" s="469"/>
      <c r="L427" s="469"/>
      <c r="M427" s="469"/>
    </row>
    <row r="428" spans="1:13" ht="12.95" customHeight="1">
      <c r="A428" s="477" t="s">
        <v>291</v>
      </c>
      <c r="B428" s="477"/>
      <c r="C428" s="477"/>
      <c r="D428" s="190"/>
      <c r="E428" s="190"/>
      <c r="F428" s="190"/>
      <c r="G428" s="469"/>
      <c r="H428" s="469"/>
      <c r="I428" s="469"/>
      <c r="J428" s="469"/>
      <c r="K428" s="469"/>
      <c r="L428" s="469"/>
      <c r="M428" s="469"/>
    </row>
    <row r="429" spans="1:13" ht="13.5" thickBot="1">
      <c r="A429" s="479" t="s">
        <v>292</v>
      </c>
      <c r="B429" s="479"/>
      <c r="C429" s="479"/>
      <c r="D429" s="193"/>
      <c r="E429" s="193"/>
      <c r="F429" s="193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6" t="s">
        <v>293</v>
      </c>
      <c r="B435" s="446"/>
      <c r="C435" s="446"/>
      <c r="D435" s="446"/>
      <c r="E435" s="446"/>
      <c r="F435" s="446"/>
      <c r="G435" s="446"/>
      <c r="H435" s="446"/>
      <c r="I435" s="446"/>
      <c r="J435" s="446"/>
      <c r="K435" s="446"/>
      <c r="L435" s="446"/>
      <c r="M435" s="446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494"/>
      <c r="L13" s="494"/>
      <c r="M13" s="494"/>
      <c r="N13" s="49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  <c r="O14" s="206"/>
      <c r="P14" s="206"/>
      <c r="Q14" s="206"/>
      <c r="R14" s="206"/>
      <c r="S14" s="206"/>
    </row>
    <row r="15" spans="1:19" ht="23.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456</v>
      </c>
      <c r="F18" s="13"/>
      <c r="G18" s="13"/>
      <c r="H18" s="13"/>
      <c r="I18" s="13"/>
      <c r="J18" s="13"/>
      <c r="K18" s="13"/>
      <c r="L18" s="264"/>
      <c r="M18" s="503"/>
      <c r="N18" s="504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0.57999999999999996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0.52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462</v>
      </c>
      <c r="D40" s="550"/>
      <c r="E40" s="238"/>
      <c r="F40" s="499">
        <v>0.51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499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465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466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455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66" t="s">
        <v>463</v>
      </c>
      <c r="D51" s="204"/>
      <c r="E51" s="204"/>
      <c r="F51" s="204"/>
      <c r="G51" s="204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 t="s">
        <v>464</v>
      </c>
      <c r="D52" s="527"/>
      <c r="E52" s="527"/>
      <c r="F52" s="527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454</v>
      </c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369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40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499">
        <f>F33</f>
        <v>0</v>
      </c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33" t="s">
        <v>2</v>
      </c>
      <c r="B4" s="534"/>
      <c r="C4" s="534"/>
      <c r="D4" s="534"/>
      <c r="E4" s="534"/>
      <c r="F4" s="534"/>
      <c r="G4" s="534"/>
      <c r="H4" s="534"/>
      <c r="I4" s="534"/>
      <c r="J4" s="534"/>
      <c r="K4" s="534"/>
      <c r="L4" s="534"/>
      <c r="M4" s="534"/>
      <c r="N4" s="535"/>
    </row>
    <row r="5" spans="1:19" ht="15.95" customHeight="1">
      <c r="A5" s="486" t="s">
        <v>6</v>
      </c>
      <c r="B5" s="487"/>
      <c r="C5" s="487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6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553"/>
      <c r="G39" s="542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38">
        <f>F32</f>
        <v>0</v>
      </c>
      <c r="F40" s="499">
        <f>F33</f>
        <v>0</v>
      </c>
      <c r="G40" s="54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553"/>
      <c r="G41" s="54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27"/>
      <c r="D52" s="527"/>
      <c r="E52" s="527"/>
      <c r="F52" s="527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379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399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73</v>
      </c>
      <c r="E1" s="516"/>
      <c r="F1" s="516"/>
      <c r="G1" s="516"/>
      <c r="H1" s="516"/>
      <c r="I1" s="516"/>
      <c r="J1" s="516"/>
      <c r="K1" s="517"/>
      <c r="L1" s="507" t="s">
        <v>460</v>
      </c>
      <c r="M1" s="508"/>
      <c r="N1" s="51" t="s">
        <v>416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422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484" t="s">
        <v>6</v>
      </c>
      <c r="B5" s="485"/>
      <c r="C5" s="485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7"/>
      <c r="B6" s="498"/>
      <c r="C6" s="498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4" t="s">
        <v>21</v>
      </c>
      <c r="B7" s="485"/>
      <c r="C7" s="485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6"/>
      <c r="B8" s="487"/>
      <c r="C8" s="487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6"/>
      <c r="B9" s="487"/>
      <c r="C9" s="487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6"/>
      <c r="B10" s="487"/>
      <c r="C10" s="487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8"/>
      <c r="B11" s="489"/>
      <c r="C11" s="489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5" t="s">
        <v>461</v>
      </c>
      <c r="M11" s="505"/>
      <c r="N11" s="506"/>
    </row>
    <row r="12" spans="1:19" ht="6" customHeight="1" thickBot="1"/>
    <row r="13" spans="1:19" ht="15">
      <c r="A13" s="533" t="s">
        <v>23</v>
      </c>
      <c r="B13" s="534"/>
      <c r="C13" s="534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5"/>
    </row>
    <row r="14" spans="1:19" ht="24" customHeight="1">
      <c r="A14" s="30"/>
      <c r="B14" s="496" t="s">
        <v>74</v>
      </c>
      <c r="C14" s="496"/>
      <c r="D14" s="496"/>
      <c r="E14" s="245" t="s">
        <v>452</v>
      </c>
      <c r="F14" s="210"/>
      <c r="G14" s="210"/>
      <c r="H14" s="210"/>
      <c r="I14" s="210"/>
      <c r="J14" s="210"/>
      <c r="K14" s="539"/>
      <c r="L14" s="539"/>
      <c r="M14" s="539"/>
      <c r="N14" s="540"/>
    </row>
    <row r="15" spans="1:19" ht="20.100000000000001" customHeight="1">
      <c r="A15" s="545" t="s">
        <v>421</v>
      </c>
      <c r="B15" s="546"/>
      <c r="C15" s="546"/>
      <c r="D15" s="546"/>
      <c r="E15" s="546"/>
      <c r="F15" s="546"/>
      <c r="G15" s="546"/>
      <c r="H15" s="546"/>
      <c r="I15" s="546"/>
      <c r="J15" s="546"/>
      <c r="K15" s="6"/>
      <c r="L15" s="263"/>
      <c r="M15" s="501"/>
      <c r="N15" s="502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4" t="s">
        <v>451</v>
      </c>
      <c r="D16" s="544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01"/>
      <c r="N16" s="502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01"/>
      <c r="N17" s="502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3"/>
      <c r="N18" s="504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90" t="s">
        <v>25</v>
      </c>
      <c r="B20" s="491"/>
      <c r="C20" s="491"/>
      <c r="D20" s="491"/>
      <c r="E20" s="491"/>
      <c r="F20" s="491"/>
      <c r="G20" s="491"/>
      <c r="H20" s="492"/>
      <c r="I20" s="491" t="s">
        <v>26</v>
      </c>
      <c r="J20" s="491"/>
      <c r="K20" s="491"/>
      <c r="L20" s="491"/>
      <c r="M20" s="491"/>
      <c r="N20" s="543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41" t="s">
        <v>57</v>
      </c>
      <c r="D38" s="542"/>
      <c r="E38" s="27" t="s">
        <v>71</v>
      </c>
      <c r="F38" s="547" t="s">
        <v>58</v>
      </c>
      <c r="G38" s="548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9" t="s">
        <v>449</v>
      </c>
      <c r="D39" s="550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9" t="s">
        <v>436</v>
      </c>
      <c r="D40" s="550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82"/>
      <c r="D41" s="483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3" t="s">
        <v>66</v>
      </c>
      <c r="B50" s="534"/>
      <c r="C50" s="534"/>
      <c r="D50" s="534"/>
      <c r="E50" s="534"/>
      <c r="F50" s="534"/>
      <c r="G50" s="39"/>
      <c r="H50" s="46"/>
      <c r="I50" s="534" t="s">
        <v>67</v>
      </c>
      <c r="J50" s="534"/>
      <c r="K50" s="534"/>
      <c r="L50" s="534"/>
      <c r="M50" s="534"/>
      <c r="N50" s="535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8" t="s">
        <v>68</v>
      </c>
      <c r="J51" s="528"/>
      <c r="K51" s="529"/>
      <c r="L51" s="536" t="s">
        <v>64</v>
      </c>
      <c r="M51" s="537"/>
      <c r="N51" s="538"/>
    </row>
    <row r="52" spans="1:14" ht="15.95" customHeight="1">
      <c r="A52" s="30"/>
      <c r="B52" s="207" t="s">
        <v>69</v>
      </c>
      <c r="C52" s="556" t="s">
        <v>453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30" t="s">
        <v>70</v>
      </c>
      <c r="J53" s="531"/>
      <c r="K53" s="532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2012-02-07T12:49:08Z</cp:lastPrinted>
  <dcterms:created xsi:type="dcterms:W3CDTF">2010-07-07T09:27:51Z</dcterms:created>
  <dcterms:modified xsi:type="dcterms:W3CDTF">2013-02-07T10:09:20Z</dcterms:modified>
</cp:coreProperties>
</file>