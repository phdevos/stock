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K6" i="63"/>
  <c r="K5"/>
  <c r="K4"/>
  <c r="K3"/>
  <c r="L37"/>
  <c r="M34"/>
  <c r="L34"/>
  <c r="K34"/>
  <c r="B194"/>
  <c r="A160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A136"/>
  <c r="B141"/>
  <c r="B136"/>
  <c r="B138"/>
  <c r="B137"/>
  <c r="G141"/>
  <c r="G140"/>
  <c r="G139"/>
  <c r="G138"/>
  <c r="G137"/>
  <c r="M136"/>
  <c r="M141"/>
  <c r="L141"/>
  <c r="M140"/>
  <c r="L140"/>
  <c r="M139"/>
  <c r="L139"/>
  <c r="M138"/>
  <c r="L138"/>
  <c r="M137"/>
  <c r="L137"/>
  <c r="K137"/>
  <c r="K171"/>
  <c r="L136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M159"/>
  <c r="L159"/>
  <c r="K159"/>
  <c r="G159"/>
  <c r="D159"/>
  <c r="B159"/>
  <c r="M158"/>
  <c r="L158"/>
  <c r="K158"/>
  <c r="G158"/>
  <c r="D158"/>
  <c r="B158"/>
  <c r="M157"/>
  <c r="L157"/>
  <c r="K157"/>
  <c r="G157"/>
  <c r="D157"/>
  <c r="B157"/>
  <c r="M156"/>
  <c r="L156"/>
  <c r="K156"/>
  <c r="G156"/>
  <c r="D156"/>
  <c r="B156"/>
  <c r="M155"/>
  <c r="L155"/>
  <c r="K155"/>
  <c r="G155"/>
  <c r="D155"/>
  <c r="B155"/>
  <c r="M154"/>
  <c r="L154"/>
  <c r="K154"/>
  <c r="G154"/>
  <c r="D154"/>
  <c r="B154"/>
  <c r="M153"/>
  <c r="L153"/>
  <c r="K153"/>
  <c r="G153"/>
  <c r="D153"/>
  <c r="B153"/>
  <c r="M152"/>
  <c r="L152"/>
  <c r="K152"/>
  <c r="G152"/>
  <c r="D152"/>
  <c r="B152"/>
  <c r="M151"/>
  <c r="L151"/>
  <c r="K151"/>
  <c r="G151"/>
  <c r="D151"/>
  <c r="B151"/>
  <c r="M150"/>
  <c r="L150"/>
  <c r="K150"/>
  <c r="G150"/>
  <c r="D150"/>
  <c r="B150"/>
  <c r="M149"/>
  <c r="L149"/>
  <c r="K149"/>
  <c r="G149"/>
  <c r="D149"/>
  <c r="B149"/>
  <c r="M148"/>
  <c r="L148"/>
  <c r="K148"/>
  <c r="G148"/>
  <c r="D148"/>
  <c r="B148"/>
  <c r="M147"/>
  <c r="L147"/>
  <c r="K147"/>
  <c r="G147"/>
  <c r="D147"/>
  <c r="B147"/>
  <c r="M146"/>
  <c r="L146"/>
  <c r="K146"/>
  <c r="G146"/>
  <c r="D146"/>
  <c r="B146"/>
  <c r="M145"/>
  <c r="L145"/>
  <c r="K145"/>
  <c r="G145"/>
  <c r="D145"/>
  <c r="B145"/>
  <c r="M144"/>
  <c r="L144"/>
  <c r="K144"/>
  <c r="G144"/>
  <c r="D144"/>
  <c r="B144"/>
  <c r="M143"/>
  <c r="L143"/>
  <c r="K143"/>
  <c r="G143"/>
  <c r="D143"/>
  <c r="B143"/>
  <c r="M142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<sst xmlns="http://schemas.openxmlformats.org/spreadsheetml/2006/main" count="6295" uniqueCount="467">
  <si>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</si>
  <si>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</si>
  <si>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</si>
  <si>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</si>
  <si>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</si>
  <si>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</si>
  <si>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</si>
  <si>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</si>
  <si>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</si>
  <si>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</si>
  <si>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</si>
  <si>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</si>
  <si>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</si>
  <si>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</si>
  <si>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</si>
  <si>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</si>
  <si>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</si>
  <si>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</si>
  <si>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</si>
  <si>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</si>
  <si>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</si>
  <si>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</si>
  <si>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</si>
  <si>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</si>
  <si>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</si>
  <si>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</si>
  <si>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</si>
  <si>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</si>
  <si>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</si>
  <si>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</si>
  <si>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</si>
  <si>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</si>
  <si>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</si>
  <si>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</si>
  <si>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</si>
  <si>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</si>
  <si>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</si>
  <si>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</si>
  <si>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</si>
  <si>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</si>
  <si>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</si>
  <si>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</si>
  <si>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</si>
  <si>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</si>
  <si>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</si>
  <si>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</si>
  <si>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</si>
  <si>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</si>
  <si>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</si>
  <si>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</si>
  <si>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</si>
  <si>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</si>
  <si>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</si>
  <si>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</si>
  <si>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</si>
  <si>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</si>
  <si>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</si>
  <si>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</si>
  <si>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</si>
  <si>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</si>
  <si>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</si>
  <si>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</si>
  <si>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</si>
  <si>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</si>
  <si>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</si>
  <si>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</si>
  <si>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</si>
  <si>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</si>
  <si>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</si>
  <si>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</si>
  <si>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</si>
  <si>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</si>
  <si>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</si>
  <si>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</si>
  <si>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</si>
  <si>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</si>
  <si>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</si>
  <si>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</si>
  <si>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</si>
  <si>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</si>
  <si>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</si>
  <si>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</si>
  <si>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</si>
  <si>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</si>
  <si>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</si>
  <si>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</si>
  <si>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</si>
  <si>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</si>
  <si>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</si>
  <si>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</si>
  <si>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</si>
  <si>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</si>
  <si>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</si>
  <si>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</si>
  <si>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</si>
  <si>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</si>
  <si>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</si>
  <si>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</si>
  <si>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</si>
  <si>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</si>
  <si>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</si>
  <si>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</si>
  <si>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</si>
  <si>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</si>
  <si>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</si>
  <si>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</si>
  <si>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</si>
  <si>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</si>
  <si>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</si>
  <si>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</si>
  <si>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</si>
  <si>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</si>
  <si>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</si>
  <si>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</si>
  <si>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</si>
  <si>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</si>
  <si>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</si>
  <si>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</si>
  <si>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</si>
  <si>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</si>
  <si>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</si>
  <si>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</si>
  <si>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</si>
  <si>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</si>
  <si>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</si>
  <si>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</si>
  <si>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</si>
  <si>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</si>
  <si>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</si>
  <si>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</si>
  <si>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</si>
  <si>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</si>
  <si>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</si>
  <si>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</si>
  <si>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</si>
  <si>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</si>
  <si>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</si>
  <si>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</si>
  <si>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</si>
  <si>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</si>
  <si>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</si>
  <si>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</si>
  <si>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</si>
  <si>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</si>
  <si>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</si>
  <si>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</si>
  <si>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</si>
  <si>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</si>
  <si>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</si>
  <si>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</si>
  <si>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</si>
  <si>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</si>
  <si>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</si>
  <si>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</si>
  <si>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</si>
  <si>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</si>
  <si>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</si>
  <si>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</si>
  <si>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</si>
  <si>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</si>
  <si>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</si>
  <si>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</si>
  <si>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</si>
  <si>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</si>
  <si>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</si>
  <si>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</si>
  <si>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</si>
  <si>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</si>
  <si>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</si>
  <si>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</si>
  <si>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</si>
  <si>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</si>
  <si>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</si>
  <si>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</si>
  <si>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</si>
  <si>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</si>
  <si>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</si>
  <si>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</si>
  <si>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</si>
  <si>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</si>
  <si>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</si>
  <si>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</si>
  <si>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</si>
  <si>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</si>
  <si>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</si>
  <si>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</si>
  <si>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</si>
  <si>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</si>
  <si>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</si>
  <si>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</si>
  <si>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</si>
  <si>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</si>
  <si>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</si>
  <si>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</si>
  <si>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</si>
  <si>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</si>
  <si>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</si>
  <si>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</si>
  <si>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</si>
  <si>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</si>
  <si>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</si>
  <si>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</si>
  <si>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</si>
  <si>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</si>
  <si>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</si>
  <si>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</si>
  <si>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</si>
  <si>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</si>
  <si>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</si>
  <si>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</si>
  <si>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</si>
  <si>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</si>
  <si>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</si>
  <si>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</si>
  <si>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</si>
  <si>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</si>
  <si>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</si>
  <si>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</si>
  <si>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</si>
  <si>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</si>
  <si>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</si>
  <si>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</si>
  <si>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</si>
  <si>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</si>
  <si>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</si>
  <si>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</si>
  <si>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</si>
  <si>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</si>
  <si>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</si>
  <si>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</si>
  <si>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</si>
  <si>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</si>
  <si>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</si>
  <si>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</si>
  <si>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</si>
  <si>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</si>
  <si>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</si>
  <si>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</si>
  <si>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</si>
  <si>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</si>
  <si>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</si>
  <si>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</si>
  <si>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</si>
  <si>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</si>
  <si>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</si>
  <si>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</si>
  <si>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</si>
  <si>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</si>
  <si>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</si>
  <si>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</si>
  <si>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</si>
  <si>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</si>
  <si>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</si>
  <si>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</si>
  <si>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</si>
  <si>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</si>
  <si>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</si>
  <si>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</si>
  <si>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</si>
  <si>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</si>
  <si>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</si>
  <si>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</si>
  <si>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</si>
  <si>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</si>
  <si>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</si>
  <si>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</si>
  <si>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</si>
  <si>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</si>
  <si>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</si>
  <si>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</si>
  <si>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</si>
  <si>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</si>
  <si>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</si>
  <si>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</si>
  <si>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</si>
  <si>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</si>
  <si>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</si>
  <si>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</si>
  <si>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</si>
  <si>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</si>
  <si>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</si>
  <si>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</si>
  <si>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</si>
  <si>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</si>
  <si>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</si>
  <si>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</si>
  <si>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</si>
  <si>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</si>
  <si>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</si>
  <si>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</si>
  <si>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</si>
  <si>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</si>
  <si>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</si>
  <si>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</si>
  <si>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</si>
  <si>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</si>
  <si>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</si>
  <si>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</si>
  <si>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</si>
  <si>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</si>
  <si>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</si>
  <si>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</si>
  <si>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</si>
  <si>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</si>
  <si>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</si>
  <si>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</si>
  <si>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</si>
  <si>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</si>
  <si>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</si>
  <si>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</si>
  <si>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</si>
  <si>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</si>
  <si>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</si>
  <si>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</si>
  <si>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</si>
  <si>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</si>
  <si>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</si>
  <si>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</si>
  <si>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</si>
  <si>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</si>
  <si>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</si>
  <si>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</si>
  <si>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</si>
  <si>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</si>
  <si>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</si>
  <si>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</si>
  <si>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</si>
  <si>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</si>
  <si>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</si>
  <si>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</si>
  <si>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</si>
  <si>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</si>
  <si>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</si>
  <si>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</si>
  <si>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</si>
  <si>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</si>
  <si>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</si>
  <si>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</si>
  <si>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</si>
  <si>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</si>
  <si>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</si>
  <si>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</si>
  <si>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</si>
  <si>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</si>
  <si>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</si>
  <si>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</si>
  <si>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</si>
  <si>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</si>
  <si>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</si>
  <si>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</si>
  <si>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</si>
  <si>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</si>
  <si>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</si>
  <si>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</si>
  <si>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</si>
  <si>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</si>
  <si>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</si>
  <si>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</si>
  <si>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</si>
  <si>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</si>
  <si>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</si>
  <si>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</si>
  <si>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</si>
  <si>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</si>
  <si>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</si>
  <si>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</si>
  <si>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</si>
  <si>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</si>
  <si>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</si>
  <si>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</si>
  <si>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</si>
  <si>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</si>
  <si>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</si>
  <si>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</si>
  <si>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</si>
  <si>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</si>
  <si>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</si>
  <si>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</si>
  <si>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</si>
  <si>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</si>
  <si>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</si>
  <si>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</si>
  <si>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</si>
  <si>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</si>
  <si>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</si>
  <si>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</si>
  <si>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</si>
  <si>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</si>
  <si>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</si>
  <si>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</si>
  <si>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</si>
  <si>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</si>
  <si>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</si>
  <si>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</si>
  <si>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</si>
  <si>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</si>
  <si>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</si>
  <si>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</si>
  <si>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</si>
  <si>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</si>
  <si>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</si>
  <si>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</si>
  <si>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</si>
  <si>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</si>
  <si>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</si>
  <si>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</si>
  <si>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</si>
  <si>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</si>
  <si>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</si>
  <si>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</si>
  <si>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</si>
  <si>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</si>
  <si>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</si>
  <si>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</si>
  <si>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</si>
  <si>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</si>
  <si>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</si>
  <si>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</si>
  <si>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</si>
  <si>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</si>
  <si>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</si>
  <si>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</si>
  <si>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</si>
  <si>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</si>
  <si>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</si>
  <si>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</si>
  <si>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</si>
  <si>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</si>
  <si>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</si>
  <si>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</si>
  <si>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</si>
  <si>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</si>
  <si>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</si>
  <si>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</si>
  <si>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</si>
  <si>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</si>
  <si>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</si>
  <si>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</si>
  <si>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</si>
  <si>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</si>
  <si>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C</t>
  </si>
  <si>
    <t>CARLY</t>
  </si>
  <si>
    <t>Réservoir liquide horizontal 3/4 rotal 1/4</t>
  </si>
  <si>
    <t>RLHCY 15</t>
  </si>
  <si>
    <t>42,0 bar</t>
  </si>
  <si>
    <t>1,5 litres</t>
  </si>
  <si>
    <t>Démantelement (récupération)</t>
  </si>
  <si>
    <t xml:space="preserve">N° de l'équipement : Poste 1 </t>
  </si>
  <si>
    <t>Carly</t>
  </si>
  <si>
    <t>59010/GRN109 /</t>
  </si>
  <si>
    <t>Récupération</t>
  </si>
  <si>
    <t>DTE  03</t>
  </si>
  <si>
    <t>Démantellement (récupération)</t>
  </si>
  <si>
    <t>fre</t>
  </si>
  <si>
    <t>09/12/2010</t>
  </si>
  <si>
    <t>Date de la dernière vérification : 19/08/2010</t>
  </si>
  <si>
    <t>1h00</t>
  </si>
  <si>
    <t>59010/GRN109/0111</t>
  </si>
  <si>
    <t>AA poste3</t>
  </si>
  <si>
    <t>C82817</t>
  </si>
  <si>
    <t>N°AA Poste 3 /</t>
  </si>
  <si>
    <t>59010/GRN 109/0111</t>
  </si>
  <si>
    <t>59010/GRN109/0025</t>
  </si>
  <si>
    <t>LEBACQ</t>
  </si>
  <si>
    <t>Mickaël</t>
  </si>
  <si>
    <t>TIF</t>
  </si>
  <si>
    <t>9030E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</si>
</sst>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14" fillId="0" borderId="0" xfId="1" applyFont="1" applyBorder="1" applyAlignment="1" applyProtection="1"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26" fillId="0" borderId="49" xfId="1" applyFont="1" applyBorder="1" applyAlignment="1" applyProtection="1">
      <alignment horizontal="center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70" xfId="1" applyFont="1" applyBorder="1" applyAlignment="1" applyProtection="1">
      <protection hidden="1"/>
    </xf>
    <xf numFmtId="0" fontId="23" fillId="0" borderId="71" xfId="1" applyFont="1" applyBorder="1" applyAlignment="1" applyProtection="1">
      <alignment horizontal="center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65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17" fillId="0" borderId="78" xfId="1" applyFont="1" applyBorder="1" applyAlignment="1" applyProtection="1">
      <alignment vertical="center"/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17" fillId="0" borderId="78" xfId="1" applyFont="1" applyBorder="1" applyAlignment="1" applyProtection="1">
      <alignment horizontal="center"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14" fillId="0" borderId="63" xfId="1" applyFont="1" applyBorder="1" applyAlignment="1" applyProtection="1">
      <protection locked="0"/>
    </xf>
    <xf numFmtId="0" fontId="14" fillId="0" borderId="81" xfId="1" applyFont="1" applyBorder="1" applyAlignment="1" applyProtection="1">
      <protection locked="0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89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29" fillId="0" borderId="81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32" fillId="0" borderId="97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98" xfId="1" applyFont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73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17" fillId="0" borderId="78" xfId="1" applyFont="1" applyBorder="1" applyAlignment="1" applyProtection="1"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top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32" fillId="0" borderId="92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91" xfId="1" applyFont="1" applyBorder="1" applyAlignment="1" applyProtection="1">
      <alignment vertical="top" wrapText="1"/>
      <protection hidden="1"/>
    </xf>
    <xf numFmtId="0" fontId="35" fillId="0" borderId="86" xfId="1" applyFont="1" applyBorder="1" applyAlignment="1" applyProtection="1">
      <alignment vertical="top" wrapText="1"/>
      <protection hidden="1"/>
    </xf>
    <xf numFmtId="0" fontId="35" fillId="0" borderId="96" xfId="1" applyFont="1" applyBorder="1" applyAlignment="1" applyProtection="1">
      <alignment vertical="top" wrapText="1"/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34"/>
          <c:h val="0.77756726173291169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219776"/>
        <c:axId val="60221312"/>
      </c:lineChart>
      <c:catAx>
        <c:axId val="602197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221312"/>
        <c:crosses val="autoZero"/>
        <c:auto val="1"/>
        <c:lblAlgn val="ctr"/>
        <c:lblOffset val="100"/>
        <c:tickLblSkip val="1"/>
        <c:tickMarkSkip val="1"/>
      </c:catAx>
      <c:valAx>
        <c:axId val="6022131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6021977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49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16" zoomScale="120" zoomScaleSheetLayoutView="100" zoomScalePageLayoutView="120" workbookViewId="0">
      <selection activeCell="A11" sqref="A11:M11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270"/>
      <c r="B1" s="270"/>
      <c r="C1" s="270"/>
      <c r="D1" s="270"/>
      <c r="E1" s="270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270"/>
      <c r="B2" s="270"/>
      <c r="C2" s="270"/>
      <c r="D2" s="270"/>
      <c r="E2" s="270"/>
      <c r="F2" s="52"/>
      <c r="G2" s="280" t="s">
        <v>76</v>
      </c>
      <c r="H2" s="281" t="s">
        <v>77</v>
      </c>
      <c r="I2" s="281"/>
      <c r="J2" s="282" t="str">
        <f>$C$51</f>
        <v>R404A</v>
      </c>
      <c r="K2" s="282"/>
      <c r="L2" s="282"/>
      <c r="M2" s="282"/>
    </row>
    <row r="3" spans="1:14" ht="20.100000000000001" customHeight="1" thickBot="1">
      <c r="A3" s="270"/>
      <c r="B3" s="270"/>
      <c r="C3" s="270"/>
      <c r="D3" s="270"/>
      <c r="E3" s="270"/>
      <c r="F3" s="52"/>
      <c r="G3" s="280"/>
      <c r="H3" s="275" t="s">
        <v>78</v>
      </c>
      <c r="I3" s="275"/>
      <c r="J3" s="55"/>
      <c r="K3" s="276">
        <f>$K$197</f>
        <v>0</v>
      </c>
      <c r="L3" s="276"/>
      <c r="M3" s="56" t="s">
        <v>12</v>
      </c>
    </row>
    <row r="4" spans="1:14" ht="20.100000000000001" customHeight="1" thickBot="1">
      <c r="A4" s="270"/>
      <c r="B4" s="270"/>
      <c r="C4" s="270"/>
      <c r="D4" s="270"/>
      <c r="E4" s="270"/>
      <c r="F4" s="52"/>
      <c r="G4" s="280"/>
      <c r="H4" s="275" t="s">
        <v>79</v>
      </c>
      <c r="I4" s="275"/>
      <c r="J4" s="55"/>
      <c r="K4" s="276">
        <f>$L$197</f>
        <v>0.57999999999999996</v>
      </c>
      <c r="L4" s="276"/>
      <c r="M4" s="56" t="s">
        <v>12</v>
      </c>
    </row>
    <row r="5" spans="1:14" ht="20.100000000000001" customHeight="1" thickBot="1">
      <c r="A5" s="270"/>
      <c r="B5" s="270"/>
      <c r="C5" s="270"/>
      <c r="D5" s="270"/>
      <c r="E5" s="270"/>
      <c r="F5" s="52"/>
      <c r="G5" s="280"/>
      <c r="H5" s="275" t="s">
        <v>80</v>
      </c>
      <c r="I5" s="275"/>
      <c r="J5" s="55"/>
      <c r="K5" s="276">
        <f>$M$197</f>
        <v>0.52</v>
      </c>
      <c r="L5" s="276"/>
      <c r="M5" s="56" t="s">
        <v>12</v>
      </c>
    </row>
    <row r="6" spans="1:14" ht="20.100000000000001" customHeight="1" thickBot="1">
      <c r="A6" s="270"/>
      <c r="B6" s="270"/>
      <c r="C6" s="270"/>
      <c r="D6" s="270"/>
      <c r="E6" s="270"/>
      <c r="F6" s="52"/>
      <c r="G6" s="280"/>
      <c r="H6" s="275" t="s">
        <v>81</v>
      </c>
      <c r="I6" s="275"/>
      <c r="J6" s="55"/>
      <c r="K6" s="276">
        <f>$K$198</f>
        <v>5.9999999999999942E-2</v>
      </c>
      <c r="L6" s="276"/>
      <c r="M6" s="56" t="s">
        <v>12</v>
      </c>
    </row>
    <row r="7" spans="1:14" ht="20.100000000000001" customHeight="1" thickBot="1">
      <c r="A7" s="270"/>
      <c r="B7" s="270"/>
      <c r="C7" s="270"/>
      <c r="D7" s="270"/>
      <c r="E7" s="270"/>
      <c r="F7" s="52"/>
      <c r="G7" s="280"/>
      <c r="H7" s="275" t="s">
        <v>82</v>
      </c>
      <c r="I7" s="275"/>
      <c r="J7" s="55"/>
      <c r="K7" s="277">
        <f>$K$343</f>
        <v>0</v>
      </c>
      <c r="L7" s="277"/>
      <c r="M7" s="277"/>
    </row>
    <row r="8" spans="1:14" ht="20.100000000000001" customHeight="1" thickBot="1">
      <c r="A8" s="270"/>
      <c r="B8" s="270"/>
      <c r="C8" s="270"/>
      <c r="D8" s="270"/>
      <c r="E8" s="270"/>
      <c r="F8" s="52"/>
      <c r="G8" s="280"/>
      <c r="H8" s="278" t="s">
        <v>83</v>
      </c>
      <c r="I8" s="278"/>
      <c r="J8" s="57"/>
      <c r="K8" s="279" t="e">
        <f>$L$376</f>
        <v>#DIV/0!</v>
      </c>
      <c r="L8" s="279"/>
      <c r="M8" s="57" t="s">
        <v>84</v>
      </c>
    </row>
    <row r="9" spans="1:14" ht="8.1" customHeight="1">
      <c r="A9" s="270"/>
      <c r="B9" s="270"/>
      <c r="C9" s="270"/>
      <c r="D9" s="270"/>
      <c r="E9" s="270"/>
      <c r="F9" s="52"/>
      <c r="G9" s="58"/>
      <c r="H9" s="59"/>
      <c r="I9" s="59"/>
      <c r="J9" s="59"/>
      <c r="K9" s="60"/>
      <c r="L9" s="53"/>
      <c r="M9" s="53"/>
    </row>
    <row r="10" spans="1:14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</row>
    <row r="11" spans="1:14" ht="30">
      <c r="A11" s="271" t="s">
        <v>85</v>
      </c>
      <c r="B11" s="271"/>
      <c r="C11" s="271"/>
      <c r="D11" s="271"/>
      <c r="E11" s="271"/>
      <c r="F11" s="271"/>
      <c r="G11" s="271"/>
      <c r="H11" s="271"/>
      <c r="I11" s="271"/>
      <c r="J11" s="271"/>
      <c r="K11" s="271"/>
      <c r="L11" s="271"/>
      <c r="M11" s="271"/>
      <c r="N11" s="61"/>
    </row>
    <row r="12" spans="1:14" ht="18.75" customHeight="1">
      <c r="A12" s="271"/>
      <c r="B12" s="271"/>
      <c r="C12" s="271"/>
      <c r="D12" s="271"/>
      <c r="E12" s="271"/>
      <c r="F12" s="271"/>
      <c r="G12" s="271"/>
      <c r="H12" s="271"/>
      <c r="I12" s="271"/>
      <c r="J12" s="271"/>
      <c r="K12" s="271"/>
      <c r="L12" s="271"/>
      <c r="M12" s="271"/>
    </row>
    <row r="13" spans="1:14" ht="42.95" customHeight="1">
      <c r="A13" s="272" t="s">
        <v>86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61"/>
    </row>
    <row r="14" spans="1:14" ht="18.75" customHeight="1">
      <c r="A14" s="270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</row>
    <row r="15" spans="1:14" ht="30" customHeight="1">
      <c r="A15" s="273" t="s">
        <v>87</v>
      </c>
      <c r="B15" s="273"/>
      <c r="C15" s="273"/>
      <c r="D15" s="273"/>
      <c r="E15" s="273"/>
      <c r="F15" s="273"/>
      <c r="G15" s="62"/>
      <c r="H15" s="274">
        <v>2010</v>
      </c>
      <c r="I15" s="274"/>
      <c r="J15" s="274"/>
      <c r="K15" s="63"/>
      <c r="L15" s="63"/>
      <c r="M15" s="63"/>
    </row>
    <row r="16" spans="1:14" ht="18" customHeight="1" thickBot="1">
      <c r="A16" s="270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</row>
    <row r="17" spans="1:13" ht="30" customHeight="1">
      <c r="A17" s="290" t="s">
        <v>88</v>
      </c>
      <c r="B17" s="290"/>
      <c r="C17" s="290"/>
      <c r="D17" s="290"/>
      <c r="E17" s="290"/>
      <c r="F17" s="290"/>
      <c r="G17" s="291" t="s">
        <v>457</v>
      </c>
      <c r="H17" s="291"/>
      <c r="I17" s="291"/>
      <c r="J17" s="291"/>
      <c r="K17" s="291"/>
      <c r="L17" s="291"/>
      <c r="M17" s="291"/>
    </row>
    <row r="18" spans="1:13" ht="9.9499999999999993" customHeight="1">
      <c r="A18" s="292"/>
      <c r="B18" s="292"/>
      <c r="C18" s="292"/>
      <c r="D18" s="292"/>
      <c r="E18" s="292"/>
      <c r="F18" s="292"/>
      <c r="G18" s="292"/>
      <c r="H18" s="292"/>
      <c r="I18" s="292"/>
      <c r="J18" s="292"/>
      <c r="K18" s="292"/>
      <c r="L18" s="292"/>
      <c r="M18" s="292"/>
    </row>
    <row r="19" spans="1:13" ht="30" customHeight="1">
      <c r="A19" s="284" t="s">
        <v>89</v>
      </c>
      <c r="B19" s="284"/>
      <c r="C19" s="284"/>
      <c r="D19" s="284"/>
      <c r="E19" s="284"/>
      <c r="F19" s="284"/>
      <c r="G19" s="293" t="s">
        <v>458</v>
      </c>
      <c r="H19" s="293"/>
      <c r="I19" s="293"/>
      <c r="J19" s="293"/>
      <c r="K19" s="294"/>
      <c r="L19" s="294"/>
      <c r="M19" s="294"/>
    </row>
    <row r="20" spans="1:13" ht="9.9499999999999993" customHeight="1">
      <c r="A20" s="283"/>
      <c r="B20" s="283"/>
      <c r="C20" s="283"/>
      <c r="D20" s="283"/>
      <c r="E20" s="283"/>
      <c r="F20" s="283"/>
      <c r="G20" s="283"/>
      <c r="H20" s="283"/>
      <c r="I20" s="283"/>
      <c r="J20" s="283"/>
      <c r="K20" s="283"/>
      <c r="L20" s="283"/>
      <c r="M20" s="283"/>
    </row>
    <row r="21" spans="1:13" ht="15" customHeight="1">
      <c r="A21" s="284" t="s">
        <v>90</v>
      </c>
      <c r="B21" s="284"/>
      <c r="C21" s="284"/>
      <c r="D21" s="284"/>
      <c r="E21" s="284"/>
      <c r="F21" s="284"/>
      <c r="G21" s="285"/>
      <c r="H21" s="286" t="s">
        <v>91</v>
      </c>
      <c r="I21" s="286"/>
      <c r="J21" s="64"/>
      <c r="K21" s="287"/>
      <c r="L21" s="287"/>
      <c r="M21" s="287"/>
    </row>
    <row r="22" spans="1:13" ht="20.25" customHeight="1">
      <c r="A22" s="284"/>
      <c r="B22" s="284"/>
      <c r="C22" s="284"/>
      <c r="D22" s="284"/>
      <c r="E22" s="284"/>
      <c r="F22" s="284"/>
      <c r="G22" s="285"/>
      <c r="H22" s="288">
        <v>40515</v>
      </c>
      <c r="I22" s="288"/>
      <c r="J22" s="65"/>
      <c r="K22" s="289"/>
      <c r="L22" s="289"/>
      <c r="M22" s="289"/>
    </row>
    <row r="23" spans="1:13" ht="9.9499999999999993" customHeight="1">
      <c r="A23" s="283"/>
      <c r="B23" s="283"/>
      <c r="C23" s="283"/>
      <c r="D23" s="283"/>
      <c r="E23" s="283"/>
      <c r="F23" s="283"/>
      <c r="G23" s="283"/>
      <c r="H23" s="283"/>
      <c r="I23" s="283"/>
      <c r="J23" s="283"/>
      <c r="K23" s="283"/>
      <c r="L23" s="283"/>
      <c r="M23" s="283"/>
    </row>
    <row r="24" spans="1:13" ht="20.25" customHeight="1">
      <c r="A24" s="284" t="s">
        <v>92</v>
      </c>
      <c r="B24" s="284"/>
      <c r="C24" s="284"/>
      <c r="D24" s="284"/>
      <c r="E24" s="284"/>
      <c r="F24" s="284"/>
      <c r="G24" s="284"/>
      <c r="H24" s="284"/>
      <c r="I24" s="295">
        <v>0.5</v>
      </c>
      <c r="J24" s="295"/>
      <c r="K24" s="66" t="s">
        <v>12</v>
      </c>
      <c r="L24" s="66"/>
      <c r="M24" s="67"/>
    </row>
    <row r="25" spans="1:13" ht="9.9499999999999993" customHeight="1">
      <c r="A25" s="283"/>
      <c r="B25" s="283"/>
      <c r="C25" s="283"/>
      <c r="D25" s="283"/>
      <c r="E25" s="283"/>
      <c r="F25" s="283"/>
      <c r="G25" s="283"/>
      <c r="H25" s="283"/>
      <c r="I25" s="283"/>
      <c r="J25" s="283"/>
      <c r="K25" s="283"/>
      <c r="L25" s="283"/>
      <c r="M25" s="283"/>
    </row>
    <row r="26" spans="1:13" ht="20.25" customHeight="1">
      <c r="A26" s="284" t="s">
        <v>93</v>
      </c>
      <c r="B26" s="284"/>
      <c r="C26" s="284"/>
      <c r="D26" s="284"/>
      <c r="E26" s="284"/>
      <c r="F26" s="284"/>
      <c r="G26" s="296"/>
      <c r="H26" s="286" t="s">
        <v>91</v>
      </c>
      <c r="I26" s="286"/>
      <c r="J26" s="64"/>
      <c r="K26" s="287"/>
      <c r="L26" s="287"/>
      <c r="M26" s="287"/>
    </row>
    <row r="27" spans="1:13" ht="20.25" customHeight="1">
      <c r="A27" s="284"/>
      <c r="B27" s="284"/>
      <c r="C27" s="284"/>
      <c r="D27" s="284"/>
      <c r="E27" s="284"/>
      <c r="F27" s="284"/>
      <c r="G27" s="296"/>
      <c r="H27" s="288"/>
      <c r="I27" s="288"/>
      <c r="J27" s="65"/>
      <c r="K27" s="297"/>
      <c r="L27" s="297"/>
      <c r="M27" s="297"/>
    </row>
    <row r="28" spans="1:13" ht="9.9499999999999993" customHeight="1">
      <c r="A28" s="283"/>
      <c r="B28" s="283"/>
      <c r="C28" s="283"/>
      <c r="D28" s="283"/>
      <c r="E28" s="283"/>
      <c r="F28" s="283"/>
      <c r="G28" s="283"/>
      <c r="H28" s="283"/>
      <c r="I28" s="283"/>
      <c r="J28" s="283"/>
      <c r="K28" s="283"/>
      <c r="L28" s="283"/>
      <c r="M28" s="283"/>
    </row>
    <row r="29" spans="1:13" ht="20.25" customHeight="1" thickBot="1">
      <c r="A29" s="301" t="s">
        <v>94</v>
      </c>
      <c r="B29" s="301"/>
      <c r="C29" s="301"/>
      <c r="D29" s="301"/>
      <c r="E29" s="301"/>
      <c r="F29" s="301"/>
      <c r="G29" s="301"/>
      <c r="H29" s="301"/>
      <c r="I29" s="302"/>
      <c r="J29" s="302"/>
      <c r="K29" s="68" t="s">
        <v>12</v>
      </c>
      <c r="L29" s="68"/>
      <c r="M29" s="69"/>
    </row>
    <row r="30" spans="1:13" ht="15" customHeight="1" thickBot="1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</row>
    <row r="31" spans="1:13" ht="15" customHeight="1" thickBot="1">
      <c r="A31" s="304" t="s">
        <v>95</v>
      </c>
      <c r="B31" s="305" t="s">
        <v>96</v>
      </c>
      <c r="C31" s="305"/>
      <c r="D31" s="305"/>
      <c r="E31" s="305"/>
      <c r="F31" s="305"/>
      <c r="G31" s="305"/>
      <c r="H31" s="305"/>
      <c r="I31" s="306"/>
      <c r="J31" s="306"/>
      <c r="K31" s="307" t="s">
        <v>97</v>
      </c>
      <c r="L31" s="307"/>
      <c r="M31" s="307"/>
    </row>
    <row r="32" spans="1:13" ht="12" customHeight="1" thickBot="1">
      <c r="A32" s="304"/>
      <c r="B32" s="298"/>
      <c r="C32" s="298"/>
      <c r="D32" s="298"/>
      <c r="E32" s="298"/>
      <c r="F32" s="298"/>
      <c r="G32" s="298"/>
      <c r="H32" s="298"/>
      <c r="I32" s="298"/>
      <c r="J32" s="298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304"/>
      <c r="B33" s="298" t="s">
        <v>101</v>
      </c>
      <c r="C33" s="298"/>
      <c r="D33" s="298"/>
      <c r="E33" s="298"/>
      <c r="F33" s="298"/>
      <c r="G33" s="298"/>
      <c r="H33" s="298"/>
      <c r="I33" s="298"/>
      <c r="J33" s="298"/>
      <c r="K33" s="73"/>
      <c r="L33" s="74"/>
      <c r="M33" s="75"/>
    </row>
    <row r="34" spans="1:13" ht="15" customHeight="1" thickBot="1">
      <c r="A34" s="304"/>
      <c r="B34" s="298" t="s">
        <v>102</v>
      </c>
      <c r="C34" s="298"/>
      <c r="D34" s="298"/>
      <c r="E34" s="298"/>
      <c r="F34" s="298"/>
      <c r="G34" s="298"/>
      <c r="H34" s="298"/>
      <c r="I34" s="298"/>
      <c r="J34" s="298"/>
      <c r="K34" s="76">
        <f>K197</f>
        <v>0</v>
      </c>
      <c r="L34" s="77">
        <f>L197</f>
        <v>0.57999999999999996</v>
      </c>
      <c r="M34" s="78">
        <f>M197</f>
        <v>0.52</v>
      </c>
    </row>
    <row r="35" spans="1:13" ht="11.1" customHeight="1" thickBot="1">
      <c r="A35" s="304"/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</row>
    <row r="36" spans="1:13" ht="15" customHeight="1" thickBot="1">
      <c r="A36" s="304"/>
      <c r="B36" s="300" t="s">
        <v>103</v>
      </c>
      <c r="C36" s="300"/>
      <c r="D36" s="300"/>
      <c r="E36" s="300"/>
      <c r="F36" s="300"/>
      <c r="G36" s="300"/>
      <c r="H36" s="300"/>
      <c r="I36" s="300"/>
      <c r="J36" s="300"/>
      <c r="K36" s="300"/>
      <c r="L36" s="79"/>
      <c r="M36" s="67" t="s">
        <v>12</v>
      </c>
    </row>
    <row r="37" spans="1:13" ht="15" customHeight="1" thickBot="1">
      <c r="A37" s="304"/>
      <c r="B37" s="300" t="s">
        <v>104</v>
      </c>
      <c r="C37" s="300"/>
      <c r="D37" s="300"/>
      <c r="E37" s="300"/>
      <c r="F37" s="300"/>
      <c r="G37" s="300"/>
      <c r="H37" s="300"/>
      <c r="I37" s="300"/>
      <c r="J37" s="300"/>
      <c r="K37" s="300"/>
      <c r="L37" s="80">
        <f>$K$198</f>
        <v>5.9999999999999942E-2</v>
      </c>
      <c r="M37" s="67" t="s">
        <v>12</v>
      </c>
    </row>
    <row r="38" spans="1:13" ht="15" customHeight="1" thickBot="1">
      <c r="A38" s="304"/>
      <c r="B38" s="300" t="s">
        <v>105</v>
      </c>
      <c r="C38" s="300"/>
      <c r="D38" s="300"/>
      <c r="E38" s="300"/>
      <c r="F38" s="300"/>
      <c r="G38" s="300"/>
      <c r="H38" s="300"/>
      <c r="I38" s="300"/>
      <c r="J38" s="300"/>
      <c r="K38" s="300"/>
      <c r="L38" s="80">
        <f>SUM(L36:L37)</f>
        <v>5.9999999999999942E-2</v>
      </c>
      <c r="M38" s="67" t="s">
        <v>12</v>
      </c>
    </row>
    <row r="39" spans="1:13" ht="11.1" customHeight="1" thickBot="1">
      <c r="A39" s="304"/>
      <c r="B39" s="299"/>
      <c r="C39" s="299"/>
      <c r="D39" s="299"/>
      <c r="E39" s="299"/>
      <c r="F39" s="299"/>
      <c r="G39" s="299"/>
      <c r="H39" s="299"/>
      <c r="I39" s="299"/>
      <c r="J39" s="299"/>
      <c r="K39" s="299"/>
      <c r="L39" s="299"/>
      <c r="M39" s="299"/>
    </row>
    <row r="40" spans="1:13" ht="15" customHeight="1" thickBot="1">
      <c r="A40" s="304"/>
      <c r="B40" s="314" t="s">
        <v>106</v>
      </c>
      <c r="C40" s="314"/>
      <c r="D40" s="314"/>
      <c r="E40" s="314"/>
      <c r="F40" s="314"/>
      <c r="G40" s="314"/>
      <c r="H40" s="314"/>
      <c r="I40" s="314"/>
      <c r="J40" s="314"/>
      <c r="K40" s="314"/>
      <c r="L40" s="81"/>
      <c r="M40" s="67" t="s">
        <v>84</v>
      </c>
    </row>
    <row r="41" spans="1:13" ht="15" customHeight="1" thickBot="1">
      <c r="A41" s="304"/>
      <c r="B41" s="314" t="s">
        <v>107</v>
      </c>
      <c r="C41" s="314"/>
      <c r="D41" s="314"/>
      <c r="E41" s="314"/>
      <c r="F41" s="314"/>
      <c r="G41" s="314"/>
      <c r="H41" s="314"/>
      <c r="I41" s="314"/>
      <c r="J41" s="314"/>
      <c r="K41" s="314"/>
      <c r="L41" s="82" t="e">
        <f>$L$376</f>
        <v>#DIV/0!</v>
      </c>
      <c r="M41" s="67" t="s">
        <v>84</v>
      </c>
    </row>
    <row r="42" spans="1:13" ht="15" customHeight="1" thickBot="1">
      <c r="A42" s="304"/>
      <c r="B42" s="315" t="s">
        <v>108</v>
      </c>
      <c r="C42" s="315"/>
      <c r="D42" s="315"/>
      <c r="E42" s="315"/>
      <c r="F42" s="315"/>
      <c r="G42" s="315"/>
      <c r="H42" s="315"/>
      <c r="I42" s="315"/>
      <c r="J42" s="315"/>
      <c r="K42" s="315"/>
      <c r="L42" s="83">
        <f>$M$374</f>
        <v>0</v>
      </c>
      <c r="M42" s="69" t="s">
        <v>84</v>
      </c>
    </row>
    <row r="43" spans="1:13" ht="4.5" customHeight="1">
      <c r="A43" s="316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</row>
    <row r="44" spans="1:13" ht="18.75" customHeight="1">
      <c r="A44" s="317" t="s">
        <v>109</v>
      </c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</row>
    <row r="45" spans="1:13" ht="18" customHeight="1">
      <c r="A45" s="318" t="s">
        <v>88</v>
      </c>
      <c r="B45" s="318"/>
      <c r="C45" s="318"/>
      <c r="D45" s="319" t="str">
        <f>$G$19</f>
        <v>AA poste3</v>
      </c>
      <c r="E45" s="319"/>
      <c r="F45" s="319"/>
      <c r="G45" s="319"/>
      <c r="H45" s="319"/>
      <c r="I45" s="319"/>
      <c r="J45" s="319"/>
      <c r="K45" s="319"/>
      <c r="L45" s="319"/>
      <c r="M45" s="319"/>
    </row>
    <row r="46" spans="1:13" ht="18" customHeight="1">
      <c r="A46" s="308" t="s">
        <v>110</v>
      </c>
      <c r="B46" s="308"/>
      <c r="C46" s="308"/>
      <c r="D46" s="309">
        <f>$H$22</f>
        <v>40515</v>
      </c>
      <c r="E46" s="309"/>
      <c r="F46" s="309"/>
      <c r="G46" s="309"/>
      <c r="H46" s="309"/>
      <c r="I46" s="309"/>
      <c r="J46" s="309"/>
      <c r="K46" s="309"/>
      <c r="L46" s="309"/>
      <c r="M46" s="309"/>
    </row>
    <row r="47" spans="1:13" ht="18" customHeight="1">
      <c r="A47" s="310" t="s">
        <v>111</v>
      </c>
      <c r="B47" s="310"/>
      <c r="C47" s="310"/>
      <c r="D47" s="311" t="s">
        <v>112</v>
      </c>
      <c r="E47" s="311"/>
      <c r="F47" s="311"/>
      <c r="G47" s="311"/>
      <c r="H47" s="311"/>
      <c r="I47" s="311"/>
      <c r="J47" s="311"/>
      <c r="K47" s="311"/>
      <c r="L47" s="311"/>
      <c r="M47" s="311"/>
    </row>
    <row r="48" spans="1:13">
      <c r="A48" s="312"/>
      <c r="B48" s="312"/>
      <c r="C48" s="312"/>
      <c r="D48" s="312"/>
      <c r="E48" s="312"/>
      <c r="F48" s="312"/>
      <c r="G48" s="312"/>
      <c r="H48" s="312"/>
      <c r="I48" s="312"/>
      <c r="J48" s="312"/>
      <c r="K48" s="312"/>
      <c r="L48" s="312"/>
      <c r="M48" s="312"/>
    </row>
    <row r="49" spans="1:13" ht="18">
      <c r="A49" s="313" t="s">
        <v>113</v>
      </c>
      <c r="B49" s="313"/>
      <c r="C49" s="313"/>
      <c r="D49" s="313"/>
      <c r="E49" s="313"/>
      <c r="F49" s="313"/>
      <c r="G49" s="313"/>
      <c r="H49" s="313"/>
      <c r="I49" s="313"/>
      <c r="J49" s="313"/>
      <c r="K49" s="313"/>
      <c r="L49" s="313"/>
      <c r="M49" s="313"/>
    </row>
    <row r="50" spans="1:13" ht="18">
      <c r="A50" s="84"/>
      <c r="B50" s="85"/>
      <c r="C50" s="320"/>
      <c r="D50" s="320"/>
      <c r="E50" s="320"/>
      <c r="F50" s="320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318" t="s">
        <v>114</v>
      </c>
      <c r="B51" s="318"/>
      <c r="C51" s="321" t="s">
        <v>418</v>
      </c>
      <c r="D51" s="321"/>
      <c r="E51" s="321"/>
      <c r="F51" s="321"/>
      <c r="G51" s="318" t="s">
        <v>116</v>
      </c>
      <c r="H51" s="318"/>
      <c r="I51" s="322"/>
      <c r="J51" s="322"/>
      <c r="K51" s="322"/>
      <c r="L51" s="322"/>
      <c r="M51" s="322"/>
    </row>
    <row r="52" spans="1:13" s="87" customFormat="1" ht="18" customHeight="1">
      <c r="A52" s="308" t="s">
        <v>117</v>
      </c>
      <c r="B52" s="308"/>
      <c r="C52" s="323">
        <f>$I$24</f>
        <v>0.5</v>
      </c>
      <c r="D52" s="323"/>
      <c r="E52" s="323"/>
      <c r="F52" s="323"/>
      <c r="G52" s="308" t="s">
        <v>118</v>
      </c>
      <c r="H52" s="308"/>
      <c r="I52" s="324"/>
      <c r="J52" s="324"/>
      <c r="K52" s="324"/>
      <c r="L52" s="324"/>
      <c r="M52" s="324"/>
    </row>
    <row r="53" spans="1:13" s="87" customFormat="1" ht="18" customHeight="1">
      <c r="A53" s="310" t="s">
        <v>119</v>
      </c>
      <c r="B53" s="310"/>
      <c r="C53" s="325" t="s">
        <v>423</v>
      </c>
      <c r="D53" s="325"/>
      <c r="E53" s="325"/>
      <c r="F53" s="325"/>
      <c r="G53" s="310" t="s">
        <v>120</v>
      </c>
      <c r="H53" s="310"/>
      <c r="I53" s="311"/>
      <c r="J53" s="311"/>
      <c r="K53" s="311"/>
      <c r="L53" s="311"/>
      <c r="M53" s="311"/>
    </row>
    <row r="54" spans="1:13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</row>
    <row r="55" spans="1:13" ht="18">
      <c r="A55" s="317" t="s">
        <v>121</v>
      </c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</row>
    <row r="56" spans="1:13" s="87" customFormat="1" ht="18" customHeight="1">
      <c r="A56" s="318" t="s">
        <v>122</v>
      </c>
      <c r="B56" s="318"/>
      <c r="C56" s="318"/>
      <c r="D56" s="322"/>
      <c r="E56" s="322"/>
      <c r="F56" s="322"/>
      <c r="G56" s="322"/>
      <c r="H56" s="322"/>
      <c r="I56" s="322"/>
      <c r="J56" s="322"/>
      <c r="K56" s="322"/>
      <c r="L56" s="322"/>
      <c r="M56" s="322"/>
    </row>
    <row r="57" spans="1:13" s="87" customFormat="1" ht="18" customHeight="1">
      <c r="A57" s="308" t="s">
        <v>123</v>
      </c>
      <c r="B57" s="308"/>
      <c r="C57" s="308"/>
      <c r="D57" s="324"/>
      <c r="E57" s="324"/>
      <c r="F57" s="324"/>
      <c r="G57" s="324"/>
      <c r="H57" s="324"/>
      <c r="I57" s="324"/>
      <c r="J57" s="324"/>
      <c r="K57" s="324"/>
      <c r="L57" s="324"/>
      <c r="M57" s="324"/>
    </row>
    <row r="58" spans="1:13" s="87" customFormat="1" ht="18" customHeight="1">
      <c r="A58" s="308" t="s">
        <v>124</v>
      </c>
      <c r="B58" s="308"/>
      <c r="C58" s="308"/>
      <c r="D58" s="324"/>
      <c r="E58" s="324"/>
      <c r="F58" s="324"/>
      <c r="G58" s="324"/>
      <c r="H58" s="324"/>
      <c r="I58" s="324"/>
      <c r="J58" s="324"/>
      <c r="K58" s="324"/>
      <c r="L58" s="324"/>
      <c r="M58" s="324"/>
    </row>
    <row r="59" spans="1:13" s="87" customFormat="1" ht="18" customHeight="1">
      <c r="A59" s="308" t="s">
        <v>125</v>
      </c>
      <c r="B59" s="308"/>
      <c r="C59" s="308"/>
      <c r="D59" s="324"/>
      <c r="E59" s="324"/>
      <c r="F59" s="324"/>
      <c r="G59" s="324"/>
      <c r="H59" s="324"/>
      <c r="I59" s="324"/>
      <c r="J59" s="324"/>
      <c r="K59" s="324"/>
      <c r="L59" s="324"/>
      <c r="M59" s="324"/>
    </row>
    <row r="60" spans="1:13" s="87" customFormat="1" ht="18" customHeight="1">
      <c r="A60" s="310" t="s">
        <v>126</v>
      </c>
      <c r="B60" s="310"/>
      <c r="C60" s="310"/>
      <c r="D60" s="311"/>
      <c r="E60" s="311"/>
      <c r="F60" s="311"/>
      <c r="G60" s="311"/>
      <c r="H60" s="311"/>
      <c r="I60" s="311"/>
      <c r="J60" s="311"/>
      <c r="K60" s="311"/>
      <c r="L60" s="311"/>
      <c r="M60" s="311"/>
    </row>
    <row r="61" spans="1:13">
      <c r="A61" s="312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</row>
    <row r="62" spans="1:13" ht="18">
      <c r="A62" s="313" t="s">
        <v>127</v>
      </c>
      <c r="B62" s="313"/>
      <c r="C62" s="313"/>
      <c r="D62" s="313"/>
      <c r="E62" s="313"/>
      <c r="F62" s="313"/>
      <c r="G62" s="313"/>
      <c r="H62" s="313"/>
      <c r="I62" s="313"/>
      <c r="J62" s="313"/>
      <c r="K62" s="313"/>
      <c r="L62" s="313"/>
      <c r="M62" s="313"/>
    </row>
    <row r="63" spans="1:13" s="87" customFormat="1" ht="18" customHeight="1">
      <c r="A63" s="318" t="s">
        <v>128</v>
      </c>
      <c r="B63" s="318"/>
      <c r="C63" s="326"/>
      <c r="D63" s="326"/>
      <c r="E63" s="326"/>
      <c r="F63" s="326"/>
      <c r="G63" s="327" t="s">
        <v>128</v>
      </c>
      <c r="H63" s="327"/>
      <c r="I63" s="322"/>
      <c r="J63" s="322"/>
      <c r="K63" s="322"/>
      <c r="L63" s="322"/>
      <c r="M63" s="322"/>
    </row>
    <row r="64" spans="1:13" s="87" customFormat="1" ht="18" customHeight="1">
      <c r="A64" s="308" t="s">
        <v>129</v>
      </c>
      <c r="B64" s="308"/>
      <c r="C64" s="328"/>
      <c r="D64" s="328"/>
      <c r="E64" s="328"/>
      <c r="F64" s="328"/>
      <c r="G64" s="329" t="s">
        <v>130</v>
      </c>
      <c r="H64" s="329"/>
      <c r="I64" s="324"/>
      <c r="J64" s="324"/>
      <c r="K64" s="324"/>
      <c r="L64" s="324"/>
      <c r="M64" s="324"/>
    </row>
    <row r="65" spans="1:14" s="87" customFormat="1" ht="18" customHeight="1">
      <c r="A65" s="308" t="s">
        <v>131</v>
      </c>
      <c r="B65" s="308"/>
      <c r="C65" s="328"/>
      <c r="D65" s="328"/>
      <c r="E65" s="328"/>
      <c r="F65" s="328"/>
      <c r="G65" s="329" t="s">
        <v>132</v>
      </c>
      <c r="H65" s="329"/>
      <c r="I65" s="324"/>
      <c r="J65" s="324"/>
      <c r="K65" s="324"/>
      <c r="L65" s="324"/>
      <c r="M65" s="324"/>
    </row>
    <row r="66" spans="1:14" s="87" customFormat="1" ht="18" customHeight="1">
      <c r="A66" s="308" t="s">
        <v>133</v>
      </c>
      <c r="B66" s="308"/>
      <c r="C66" s="328"/>
      <c r="D66" s="328"/>
      <c r="E66" s="328"/>
      <c r="F66" s="328"/>
      <c r="G66" s="329" t="s">
        <v>134</v>
      </c>
      <c r="H66" s="329"/>
      <c r="I66" s="324"/>
      <c r="J66" s="324"/>
      <c r="K66" s="324"/>
      <c r="L66" s="324"/>
      <c r="M66" s="324"/>
    </row>
    <row r="67" spans="1:14" s="87" customFormat="1" ht="18" customHeight="1">
      <c r="A67" s="310" t="s">
        <v>135</v>
      </c>
      <c r="B67" s="310"/>
      <c r="C67" s="325"/>
      <c r="D67" s="325"/>
      <c r="E67" s="325"/>
      <c r="F67" s="325"/>
      <c r="G67" s="330" t="s">
        <v>136</v>
      </c>
      <c r="H67" s="330"/>
      <c r="I67" s="311"/>
      <c r="J67" s="311"/>
      <c r="K67" s="311"/>
      <c r="L67" s="311"/>
      <c r="M67" s="311"/>
    </row>
    <row r="68" spans="1:14">
      <c r="A68" s="312"/>
      <c r="B68" s="312"/>
      <c r="C68" s="312"/>
      <c r="D68" s="312"/>
      <c r="E68" s="312"/>
      <c r="F68" s="312"/>
      <c r="G68" s="312"/>
      <c r="H68" s="312"/>
      <c r="I68" s="312"/>
      <c r="J68" s="312"/>
      <c r="K68" s="312"/>
      <c r="L68" s="312"/>
      <c r="M68" s="312"/>
      <c r="N68" s="88"/>
    </row>
    <row r="69" spans="1:14" ht="18">
      <c r="A69" s="313" t="s">
        <v>137</v>
      </c>
      <c r="B69" s="313"/>
      <c r="C69" s="313"/>
      <c r="D69" s="313"/>
      <c r="E69" s="313"/>
      <c r="F69" s="313"/>
      <c r="G69" s="313"/>
      <c r="H69" s="313"/>
      <c r="I69" s="313"/>
      <c r="J69" s="313"/>
      <c r="K69" s="313"/>
      <c r="L69" s="313"/>
      <c r="M69" s="313"/>
    </row>
    <row r="70" spans="1:14" s="87" customFormat="1" ht="18" customHeight="1">
      <c r="A70" s="318" t="s">
        <v>138</v>
      </c>
      <c r="B70" s="318"/>
      <c r="C70" s="326"/>
      <c r="D70" s="326"/>
      <c r="E70" s="326"/>
      <c r="F70" s="326"/>
      <c r="G70" s="318" t="s">
        <v>139</v>
      </c>
      <c r="H70" s="318"/>
      <c r="I70" s="322"/>
      <c r="J70" s="322"/>
      <c r="K70" s="322"/>
      <c r="L70" s="322"/>
      <c r="M70" s="322"/>
    </row>
    <row r="71" spans="1:14" s="87" customFormat="1" ht="18" customHeight="1">
      <c r="A71" s="310" t="s">
        <v>140</v>
      </c>
      <c r="B71" s="310"/>
      <c r="C71" s="325"/>
      <c r="D71" s="325"/>
      <c r="E71" s="325"/>
      <c r="F71" s="325"/>
      <c r="G71" s="310" t="s">
        <v>141</v>
      </c>
      <c r="H71" s="310"/>
      <c r="I71" s="311"/>
      <c r="J71" s="311"/>
      <c r="K71" s="311"/>
      <c r="L71" s="311"/>
      <c r="M71" s="311"/>
    </row>
    <row r="72" spans="1:14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</row>
    <row r="73" spans="1:14" ht="18">
      <c r="A73" s="313" t="s">
        <v>142</v>
      </c>
      <c r="B73" s="313"/>
      <c r="C73" s="313"/>
      <c r="D73" s="313"/>
      <c r="E73" s="313"/>
      <c r="F73" s="313"/>
      <c r="G73" s="313"/>
      <c r="H73" s="313"/>
      <c r="I73" s="313"/>
      <c r="J73" s="313"/>
      <c r="K73" s="313"/>
      <c r="L73" s="313"/>
      <c r="M73" s="313"/>
    </row>
    <row r="74" spans="1:14">
      <c r="A74" s="331" t="s">
        <v>440</v>
      </c>
      <c r="B74" s="331"/>
      <c r="C74" s="331"/>
      <c r="D74" s="331"/>
      <c r="E74" s="331"/>
      <c r="F74" s="331"/>
      <c r="G74" s="331"/>
      <c r="H74" s="331"/>
      <c r="I74" s="331"/>
      <c r="J74" s="331"/>
      <c r="K74" s="331"/>
      <c r="L74" s="331"/>
      <c r="M74" s="331"/>
    </row>
    <row r="75" spans="1:14">
      <c r="A75" s="331"/>
      <c r="B75" s="331"/>
      <c r="C75" s="331"/>
      <c r="D75" s="331"/>
      <c r="E75" s="331"/>
      <c r="F75" s="331"/>
      <c r="G75" s="331"/>
      <c r="H75" s="331"/>
      <c r="I75" s="331"/>
      <c r="J75" s="331"/>
      <c r="K75" s="331"/>
      <c r="L75" s="331"/>
      <c r="M75" s="331"/>
    </row>
    <row r="76" spans="1:14">
      <c r="A76" s="331"/>
      <c r="B76" s="331"/>
      <c r="C76" s="331"/>
      <c r="D76" s="331"/>
      <c r="E76" s="331"/>
      <c r="F76" s="331"/>
      <c r="G76" s="331"/>
      <c r="H76" s="331"/>
      <c r="I76" s="331"/>
      <c r="J76" s="331"/>
      <c r="K76" s="331"/>
      <c r="L76" s="331"/>
      <c r="M76" s="331"/>
    </row>
    <row r="77" spans="1:14">
      <c r="A77" s="331"/>
      <c r="B77" s="331"/>
      <c r="C77" s="331"/>
      <c r="D77" s="331"/>
      <c r="E77" s="331"/>
      <c r="F77" s="331"/>
      <c r="G77" s="331"/>
      <c r="H77" s="331"/>
      <c r="I77" s="331"/>
      <c r="J77" s="331"/>
      <c r="K77" s="331"/>
      <c r="L77" s="331"/>
      <c r="M77" s="331"/>
    </row>
    <row r="78" spans="1:14">
      <c r="A78" s="331"/>
      <c r="B78" s="331"/>
      <c r="C78" s="331"/>
      <c r="D78" s="331"/>
      <c r="E78" s="331"/>
      <c r="F78" s="331"/>
      <c r="G78" s="331"/>
      <c r="H78" s="331"/>
      <c r="I78" s="331"/>
      <c r="J78" s="331"/>
      <c r="K78" s="331"/>
      <c r="L78" s="331"/>
      <c r="M78" s="331"/>
    </row>
    <row r="79" spans="1:14">
      <c r="A79" s="331"/>
      <c r="B79" s="331"/>
      <c r="C79" s="331"/>
      <c r="D79" s="331"/>
      <c r="E79" s="331"/>
      <c r="F79" s="331"/>
      <c r="G79" s="331"/>
      <c r="H79" s="331"/>
      <c r="I79" s="331"/>
      <c r="J79" s="331"/>
      <c r="K79" s="331"/>
      <c r="L79" s="331"/>
      <c r="M79" s="331"/>
    </row>
    <row r="80" spans="1:14">
      <c r="A80" s="331"/>
      <c r="B80" s="331"/>
      <c r="C80" s="331"/>
      <c r="D80" s="331"/>
      <c r="E80" s="331"/>
      <c r="F80" s="331"/>
      <c r="G80" s="331"/>
      <c r="H80" s="331"/>
      <c r="I80" s="331"/>
      <c r="J80" s="331"/>
      <c r="K80" s="331"/>
      <c r="L80" s="331"/>
      <c r="M80" s="331"/>
    </row>
    <row r="81" spans="1:13">
      <c r="A81" s="331"/>
      <c r="B81" s="331"/>
      <c r="C81" s="331"/>
      <c r="D81" s="331"/>
      <c r="E81" s="331"/>
      <c r="F81" s="331"/>
      <c r="G81" s="331"/>
      <c r="H81" s="331"/>
      <c r="I81" s="331"/>
      <c r="J81" s="331"/>
      <c r="K81" s="331"/>
      <c r="L81" s="331"/>
      <c r="M81" s="331"/>
    </row>
    <row r="82" spans="1:13">
      <c r="A82" s="331"/>
      <c r="B82" s="331"/>
      <c r="C82" s="331"/>
      <c r="D82" s="331"/>
      <c r="E82" s="331"/>
      <c r="F82" s="331"/>
      <c r="G82" s="331"/>
      <c r="H82" s="331"/>
      <c r="I82" s="331"/>
      <c r="J82" s="331"/>
      <c r="K82" s="331"/>
      <c r="L82" s="331"/>
      <c r="M82" s="331"/>
    </row>
    <row r="83" spans="1:13">
      <c r="A83" s="331"/>
      <c r="B83" s="331"/>
      <c r="C83" s="331"/>
      <c r="D83" s="331"/>
      <c r="E83" s="331"/>
      <c r="F83" s="331"/>
      <c r="G83" s="331"/>
      <c r="H83" s="331"/>
      <c r="I83" s="331"/>
      <c r="J83" s="331"/>
      <c r="K83" s="331"/>
      <c r="L83" s="331"/>
      <c r="M83" s="331"/>
    </row>
    <row r="84" spans="1:13">
      <c r="A84" s="331"/>
      <c r="B84" s="331"/>
      <c r="C84" s="331"/>
      <c r="D84" s="331"/>
      <c r="E84" s="331"/>
      <c r="F84" s="331"/>
      <c r="G84" s="331"/>
      <c r="H84" s="331"/>
      <c r="I84" s="331"/>
      <c r="J84" s="331"/>
      <c r="K84" s="331"/>
      <c r="L84" s="331"/>
      <c r="M84" s="331"/>
    </row>
    <row r="85" spans="1:13" ht="90" customHeight="1">
      <c r="A85" s="331"/>
      <c r="B85" s="331"/>
      <c r="C85" s="331"/>
      <c r="D85" s="331"/>
      <c r="E85" s="331"/>
      <c r="F85" s="331"/>
      <c r="G85" s="331"/>
      <c r="H85" s="331"/>
      <c r="I85" s="331"/>
      <c r="J85" s="331"/>
      <c r="K85" s="331"/>
      <c r="L85" s="331"/>
      <c r="M85" s="33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332" t="s">
        <v>143</v>
      </c>
      <c r="B87" s="332"/>
      <c r="C87" s="332"/>
      <c r="D87" s="332"/>
      <c r="E87" s="332"/>
      <c r="F87" s="332"/>
      <c r="G87" s="332"/>
      <c r="H87" s="332"/>
      <c r="I87" s="332"/>
      <c r="J87" s="332"/>
      <c r="K87" s="332"/>
      <c r="L87" s="332"/>
      <c r="M87" s="332"/>
    </row>
    <row r="88" spans="1:13">
      <c r="A88" s="333" t="s">
        <v>144</v>
      </c>
      <c r="B88" s="333"/>
      <c r="C88" s="333"/>
      <c r="D88" s="333"/>
      <c r="E88" s="333"/>
      <c r="F88" s="333"/>
      <c r="G88" s="334" t="s">
        <v>145</v>
      </c>
      <c r="H88" s="334"/>
      <c r="I88" s="334"/>
      <c r="J88" s="334"/>
      <c r="K88" s="334"/>
      <c r="L88" s="334"/>
      <c r="M88" s="334"/>
    </row>
    <row r="89" spans="1:13" ht="33.75" customHeight="1" thickBot="1">
      <c r="A89" s="335" t="s">
        <v>424</v>
      </c>
      <c r="B89" s="335"/>
      <c r="C89" s="335"/>
      <c r="D89" s="335"/>
      <c r="E89" s="335"/>
      <c r="F89" s="335"/>
      <c r="G89" s="336">
        <v>40143</v>
      </c>
      <c r="H89" s="337"/>
      <c r="I89" s="337"/>
      <c r="J89" s="337"/>
      <c r="K89" s="337"/>
      <c r="L89" s="337"/>
      <c r="M89" s="337"/>
    </row>
    <row r="90" spans="1:13" ht="8.1" customHeight="1" thickBot="1">
      <c r="A90" s="338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</row>
    <row r="91" spans="1:13" ht="15.95" customHeight="1">
      <c r="A91" s="339" t="s">
        <v>146</v>
      </c>
      <c r="B91" s="339"/>
      <c r="C91" s="339"/>
      <c r="D91" s="340" t="s">
        <v>147</v>
      </c>
      <c r="E91" s="340"/>
      <c r="F91" s="340"/>
      <c r="G91" s="340"/>
      <c r="H91" s="340"/>
      <c r="I91" s="340"/>
      <c r="J91" s="340"/>
      <c r="K91" s="340"/>
      <c r="L91" s="340"/>
      <c r="M91" s="340"/>
    </row>
    <row r="92" spans="1:13" ht="15.95" customHeight="1">
      <c r="A92" s="90" t="s">
        <v>22</v>
      </c>
      <c r="B92" s="341" t="s">
        <v>441</v>
      </c>
      <c r="C92" s="341"/>
      <c r="D92" s="342" t="s">
        <v>148</v>
      </c>
      <c r="E92" s="342"/>
      <c r="F92" s="342"/>
      <c r="G92" s="342"/>
      <c r="H92" s="91" t="s">
        <v>149</v>
      </c>
      <c r="I92" s="91" t="s">
        <v>150</v>
      </c>
      <c r="J92" s="343" t="s">
        <v>151</v>
      </c>
      <c r="K92" s="343"/>
      <c r="L92" s="343"/>
      <c r="M92" s="343"/>
    </row>
    <row r="93" spans="1:13" ht="15.95" customHeight="1">
      <c r="A93" s="92"/>
      <c r="B93" s="341"/>
      <c r="C93" s="341"/>
      <c r="D93" s="342" t="s">
        <v>152</v>
      </c>
      <c r="E93" s="342"/>
      <c r="F93" s="342"/>
      <c r="G93" s="342"/>
      <c r="H93" s="93"/>
      <c r="I93" s="93"/>
      <c r="J93" s="343"/>
      <c r="K93" s="343"/>
      <c r="L93" s="343"/>
      <c r="M93" s="343"/>
    </row>
    <row r="94" spans="1:13" ht="15.95" customHeight="1">
      <c r="A94" s="92" t="s">
        <v>59</v>
      </c>
      <c r="B94" s="344" t="s">
        <v>442</v>
      </c>
      <c r="C94" s="344"/>
      <c r="D94" s="342" t="s">
        <v>153</v>
      </c>
      <c r="E94" s="342"/>
      <c r="F94" s="342"/>
      <c r="G94" s="342"/>
      <c r="H94" s="93"/>
      <c r="I94" s="93"/>
      <c r="J94" s="343"/>
      <c r="K94" s="343"/>
      <c r="L94" s="343"/>
      <c r="M94" s="343"/>
    </row>
    <row r="95" spans="1:13" ht="15.95" customHeight="1">
      <c r="A95" s="92"/>
      <c r="B95" s="344"/>
      <c r="C95" s="344"/>
      <c r="D95" s="342" t="s">
        <v>419</v>
      </c>
      <c r="E95" s="342"/>
      <c r="F95" s="342"/>
      <c r="G95" s="342"/>
      <c r="H95" s="93"/>
      <c r="I95" s="93"/>
      <c r="J95" s="343"/>
      <c r="K95" s="343"/>
      <c r="L95" s="343"/>
      <c r="M95" s="343"/>
    </row>
    <row r="96" spans="1:13" ht="15.95" customHeight="1">
      <c r="A96" s="92" t="s">
        <v>148</v>
      </c>
      <c r="B96" s="344" t="s">
        <v>443</v>
      </c>
      <c r="C96" s="344"/>
      <c r="D96" s="342" t="s">
        <v>154</v>
      </c>
      <c r="E96" s="342"/>
      <c r="F96" s="342"/>
      <c r="G96" s="342"/>
      <c r="H96" s="93"/>
      <c r="I96" s="93"/>
      <c r="J96" s="343"/>
      <c r="K96" s="343"/>
      <c r="L96" s="343"/>
      <c r="M96" s="343"/>
    </row>
    <row r="97" spans="1:13" ht="15.95" customHeight="1">
      <c r="A97" s="92"/>
      <c r="B97" s="344"/>
      <c r="C97" s="344"/>
      <c r="D97" s="342" t="s">
        <v>155</v>
      </c>
      <c r="E97" s="342"/>
      <c r="F97" s="342"/>
      <c r="G97" s="342"/>
      <c r="H97" s="93" t="s">
        <v>445</v>
      </c>
      <c r="I97" s="93" t="s">
        <v>444</v>
      </c>
      <c r="J97" s="343" t="s">
        <v>425</v>
      </c>
      <c r="K97" s="343"/>
      <c r="L97" s="343"/>
      <c r="M97" s="343"/>
    </row>
    <row r="98" spans="1:13" ht="15.95" customHeight="1">
      <c r="A98" s="351" t="s">
        <v>156</v>
      </c>
      <c r="B98" s="351"/>
      <c r="C98" s="228">
        <v>2</v>
      </c>
      <c r="D98" s="342" t="s">
        <v>157</v>
      </c>
      <c r="E98" s="342"/>
      <c r="F98" s="342"/>
      <c r="G98" s="342"/>
      <c r="H98" s="93"/>
      <c r="I98" s="93"/>
      <c r="J98" s="343"/>
      <c r="K98" s="343"/>
      <c r="L98" s="343"/>
      <c r="M98" s="343"/>
    </row>
    <row r="99" spans="1:13" ht="15.95" customHeight="1">
      <c r="A99" s="352" t="s">
        <v>158</v>
      </c>
      <c r="B99" s="352"/>
      <c r="C99" s="352"/>
      <c r="D99" s="353" t="s">
        <v>159</v>
      </c>
      <c r="E99" s="353"/>
      <c r="F99" s="353"/>
      <c r="G99" s="353"/>
      <c r="H99" s="354" t="s">
        <v>160</v>
      </c>
      <c r="I99" s="354"/>
      <c r="J99" s="354"/>
      <c r="K99" s="354"/>
      <c r="L99" s="354"/>
      <c r="M99" s="354"/>
    </row>
    <row r="100" spans="1:13" ht="15.95" customHeight="1" thickBot="1">
      <c r="A100" s="355">
        <v>2008</v>
      </c>
      <c r="B100" s="355"/>
      <c r="C100" s="355"/>
      <c r="D100" s="356"/>
      <c r="E100" s="356"/>
      <c r="F100" s="356"/>
      <c r="G100" s="356"/>
      <c r="H100" s="354"/>
      <c r="I100" s="354"/>
      <c r="J100" s="354"/>
      <c r="K100" s="354"/>
      <c r="L100" s="354"/>
      <c r="M100" s="354"/>
    </row>
    <row r="101" spans="1:13" ht="15.95" customHeight="1" thickBot="1">
      <c r="A101" s="94" t="s">
        <v>161</v>
      </c>
      <c r="B101" s="357" t="s">
        <v>459</v>
      </c>
      <c r="C101" s="357"/>
      <c r="D101" s="356"/>
      <c r="E101" s="356"/>
      <c r="F101" s="356"/>
      <c r="G101" s="356"/>
      <c r="H101" s="358" t="s">
        <v>426</v>
      </c>
      <c r="I101" s="358"/>
      <c r="J101" s="358"/>
      <c r="K101" s="358"/>
      <c r="L101" s="358"/>
      <c r="M101" s="358"/>
    </row>
    <row r="102" spans="1:13" ht="8.1" customHeight="1" thickBot="1">
      <c r="A102" s="338"/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</row>
    <row r="103" spans="1:13" ht="24.75" customHeight="1">
      <c r="A103" s="345" t="s">
        <v>162</v>
      </c>
      <c r="B103" s="345"/>
      <c r="C103" s="345"/>
      <c r="D103" s="95" t="s">
        <v>163</v>
      </c>
      <c r="E103" s="346" t="s">
        <v>164</v>
      </c>
      <c r="F103" s="346"/>
      <c r="G103" s="347" t="s">
        <v>165</v>
      </c>
      <c r="H103" s="347"/>
      <c r="I103" s="347"/>
      <c r="J103" s="347"/>
      <c r="K103" s="347"/>
      <c r="L103" s="347"/>
      <c r="M103" s="347"/>
    </row>
    <row r="104" spans="1:13" ht="15.95" customHeight="1">
      <c r="A104" s="348" t="s">
        <v>166</v>
      </c>
      <c r="B104" s="348"/>
      <c r="C104" s="348"/>
      <c r="D104" s="96" t="s">
        <v>427</v>
      </c>
      <c r="E104" s="349"/>
      <c r="F104" s="349"/>
      <c r="G104" s="350"/>
      <c r="H104" s="350"/>
      <c r="I104" s="350"/>
      <c r="J104" s="350"/>
      <c r="K104" s="350"/>
      <c r="L104" s="350"/>
      <c r="M104" s="350"/>
    </row>
    <row r="105" spans="1:13" ht="15.95" customHeight="1">
      <c r="A105" s="348" t="s">
        <v>167</v>
      </c>
      <c r="B105" s="348"/>
      <c r="C105" s="348"/>
      <c r="D105" s="96" t="s">
        <v>427</v>
      </c>
      <c r="E105" s="349"/>
      <c r="F105" s="349"/>
      <c r="G105" s="350"/>
      <c r="H105" s="350"/>
      <c r="I105" s="350"/>
      <c r="J105" s="350"/>
      <c r="K105" s="350"/>
      <c r="L105" s="350"/>
      <c r="M105" s="350"/>
    </row>
    <row r="106" spans="1:13" ht="15.95" customHeight="1">
      <c r="A106" s="348" t="s">
        <v>168</v>
      </c>
      <c r="B106" s="348"/>
      <c r="C106" s="348"/>
      <c r="D106" s="96" t="s">
        <v>427</v>
      </c>
      <c r="E106" s="349"/>
      <c r="F106" s="349"/>
      <c r="G106" s="350"/>
      <c r="H106" s="350"/>
      <c r="I106" s="350"/>
      <c r="J106" s="350"/>
      <c r="K106" s="350"/>
      <c r="L106" s="350"/>
      <c r="M106" s="350"/>
    </row>
    <row r="107" spans="1:13" ht="15.95" customHeight="1">
      <c r="A107" s="348" t="s">
        <v>169</v>
      </c>
      <c r="B107" s="348"/>
      <c r="C107" s="348"/>
      <c r="D107" s="96" t="s">
        <v>427</v>
      </c>
      <c r="E107" s="349"/>
      <c r="F107" s="349"/>
      <c r="G107" s="350"/>
      <c r="H107" s="350"/>
      <c r="I107" s="350"/>
      <c r="J107" s="350"/>
      <c r="K107" s="350"/>
      <c r="L107" s="350"/>
      <c r="M107" s="350"/>
    </row>
    <row r="108" spans="1:13" ht="22.5" customHeight="1">
      <c r="A108" s="359" t="s">
        <v>170</v>
      </c>
      <c r="B108" s="359"/>
      <c r="C108" s="359"/>
      <c r="D108" s="96" t="s">
        <v>428</v>
      </c>
      <c r="E108" s="349"/>
      <c r="F108" s="349"/>
      <c r="G108" s="350"/>
      <c r="H108" s="350"/>
      <c r="I108" s="350"/>
      <c r="J108" s="350"/>
      <c r="K108" s="350"/>
      <c r="L108" s="350"/>
      <c r="M108" s="350"/>
    </row>
    <row r="109" spans="1:13" ht="15.95" customHeight="1">
      <c r="A109" s="359" t="s">
        <v>171</v>
      </c>
      <c r="B109" s="359"/>
      <c r="C109" s="359"/>
      <c r="D109" s="349" t="s">
        <v>428</v>
      </c>
      <c r="E109" s="349"/>
      <c r="F109" s="349"/>
      <c r="G109" s="350"/>
      <c r="H109" s="350"/>
      <c r="I109" s="350"/>
      <c r="J109" s="350"/>
      <c r="K109" s="350"/>
      <c r="L109" s="350"/>
      <c r="M109" s="350"/>
    </row>
    <row r="110" spans="1:13" ht="15.95" customHeight="1">
      <c r="A110" s="359"/>
      <c r="B110" s="359"/>
      <c r="C110" s="359"/>
      <c r="D110" s="349"/>
      <c r="E110" s="349"/>
      <c r="F110" s="349"/>
      <c r="G110" s="350"/>
      <c r="H110" s="350"/>
      <c r="I110" s="350"/>
      <c r="J110" s="350"/>
      <c r="K110" s="350"/>
      <c r="L110" s="350"/>
      <c r="M110" s="350"/>
    </row>
    <row r="111" spans="1:13" ht="15.95" customHeight="1">
      <c r="A111" s="348" t="s">
        <v>172</v>
      </c>
      <c r="B111" s="348"/>
      <c r="C111" s="348"/>
      <c r="D111" s="96" t="s">
        <v>429</v>
      </c>
      <c r="E111" s="349"/>
      <c r="F111" s="349"/>
      <c r="G111" s="350"/>
      <c r="H111" s="350"/>
      <c r="I111" s="350"/>
      <c r="J111" s="350"/>
      <c r="K111" s="350"/>
      <c r="L111" s="350"/>
      <c r="M111" s="350"/>
    </row>
    <row r="112" spans="1:13" ht="15.95" customHeight="1" thickBot="1">
      <c r="A112" s="360" t="s">
        <v>173</v>
      </c>
      <c r="B112" s="360"/>
      <c r="C112" s="360"/>
      <c r="D112" s="361" t="s">
        <v>429</v>
      </c>
      <c r="E112" s="361"/>
      <c r="F112" s="361"/>
      <c r="G112" s="362" t="s">
        <v>430</v>
      </c>
      <c r="H112" s="362"/>
      <c r="I112" s="362"/>
      <c r="J112" s="362"/>
      <c r="K112" s="362"/>
      <c r="L112" s="362"/>
      <c r="M112" s="362"/>
    </row>
    <row r="113" spans="1:13" ht="15.95" customHeight="1" thickBot="1">
      <c r="A113" s="360"/>
      <c r="B113" s="360"/>
      <c r="C113" s="360"/>
      <c r="D113" s="361"/>
      <c r="E113" s="361"/>
      <c r="F113" s="361"/>
      <c r="G113" s="362"/>
      <c r="H113" s="362"/>
      <c r="I113" s="362"/>
      <c r="J113" s="362"/>
      <c r="K113" s="362"/>
      <c r="L113" s="362"/>
      <c r="M113" s="362"/>
    </row>
    <row r="114" spans="1:13" ht="8.1" customHeight="1" thickBot="1">
      <c r="A114" s="338"/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</row>
    <row r="115" spans="1:13" ht="23.25" customHeight="1">
      <c r="A115" s="345" t="s">
        <v>174</v>
      </c>
      <c r="B115" s="345"/>
      <c r="C115" s="345"/>
      <c r="D115" s="95" t="s">
        <v>163</v>
      </c>
      <c r="E115" s="346" t="s">
        <v>164</v>
      </c>
      <c r="F115" s="346"/>
      <c r="G115" s="347" t="s">
        <v>165</v>
      </c>
      <c r="H115" s="347"/>
      <c r="I115" s="347"/>
      <c r="J115" s="347"/>
      <c r="K115" s="347"/>
      <c r="L115" s="347"/>
      <c r="M115" s="347"/>
    </row>
    <row r="116" spans="1:13" ht="15.95" customHeight="1">
      <c r="A116" s="352" t="s">
        <v>175</v>
      </c>
      <c r="B116" s="352"/>
      <c r="C116" s="352"/>
      <c r="D116" s="365" t="s">
        <v>429</v>
      </c>
      <c r="E116" s="366"/>
      <c r="F116" s="366"/>
      <c r="G116" s="367"/>
      <c r="H116" s="367"/>
      <c r="I116" s="367"/>
      <c r="J116" s="367"/>
      <c r="K116" s="367"/>
      <c r="L116" s="367"/>
      <c r="M116" s="367"/>
    </row>
    <row r="117" spans="1:13" ht="15.95" customHeight="1">
      <c r="A117" s="368" t="s">
        <v>176</v>
      </c>
      <c r="B117" s="368"/>
      <c r="C117" s="368"/>
      <c r="D117" s="365"/>
      <c r="E117" s="366"/>
      <c r="F117" s="366"/>
      <c r="G117" s="367"/>
      <c r="H117" s="367"/>
      <c r="I117" s="367"/>
      <c r="J117" s="367"/>
      <c r="K117" s="367"/>
      <c r="L117" s="367"/>
      <c r="M117" s="367"/>
    </row>
    <row r="118" spans="1:13" ht="15.95" customHeight="1">
      <c r="A118" s="369" t="s">
        <v>177</v>
      </c>
      <c r="B118" s="369"/>
      <c r="C118" s="369"/>
      <c r="D118" s="365"/>
      <c r="E118" s="366"/>
      <c r="F118" s="366"/>
      <c r="G118" s="367"/>
      <c r="H118" s="367"/>
      <c r="I118" s="367"/>
      <c r="J118" s="367"/>
      <c r="K118" s="367"/>
      <c r="L118" s="367"/>
      <c r="M118" s="367"/>
    </row>
    <row r="119" spans="1:13" ht="15.95" customHeight="1" thickBot="1">
      <c r="A119" s="363" t="s">
        <v>178</v>
      </c>
      <c r="B119" s="363"/>
      <c r="C119" s="363"/>
      <c r="D119" s="97"/>
      <c r="E119" s="361"/>
      <c r="F119" s="361"/>
      <c r="G119" s="362"/>
      <c r="H119" s="362"/>
      <c r="I119" s="362"/>
      <c r="J119" s="362"/>
      <c r="K119" s="362"/>
      <c r="L119" s="362"/>
      <c r="M119" s="362"/>
    </row>
    <row r="120" spans="1:13" ht="8.1" customHeight="1" thickBot="1">
      <c r="A120" s="338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</row>
    <row r="121" spans="1:13" ht="27.75" customHeight="1">
      <c r="A121" s="364" t="s">
        <v>179</v>
      </c>
      <c r="B121" s="364"/>
      <c r="C121" s="364"/>
      <c r="D121" s="95" t="s">
        <v>163</v>
      </c>
      <c r="E121" s="346" t="s">
        <v>164</v>
      </c>
      <c r="F121" s="346"/>
      <c r="G121" s="347" t="s">
        <v>165</v>
      </c>
      <c r="H121" s="347"/>
      <c r="I121" s="347"/>
      <c r="J121" s="347"/>
      <c r="K121" s="347"/>
      <c r="L121" s="347"/>
      <c r="M121" s="347"/>
    </row>
    <row r="122" spans="1:13" ht="15" customHeight="1">
      <c r="A122" s="359" t="s">
        <v>180</v>
      </c>
      <c r="B122" s="359"/>
      <c r="C122" s="359"/>
      <c r="D122" s="349" t="s">
        <v>429</v>
      </c>
      <c r="E122" s="349"/>
      <c r="F122" s="349"/>
      <c r="G122" s="350" t="s">
        <v>430</v>
      </c>
      <c r="H122" s="350"/>
      <c r="I122" s="350"/>
      <c r="J122" s="350"/>
      <c r="K122" s="350"/>
      <c r="L122" s="350"/>
      <c r="M122" s="350"/>
    </row>
    <row r="123" spans="1:13" ht="15" customHeight="1">
      <c r="A123" s="359"/>
      <c r="B123" s="359"/>
      <c r="C123" s="359"/>
      <c r="D123" s="349"/>
      <c r="E123" s="349"/>
      <c r="F123" s="349"/>
      <c r="G123" s="350"/>
      <c r="H123" s="350"/>
      <c r="I123" s="350"/>
      <c r="J123" s="350"/>
      <c r="K123" s="350"/>
      <c r="L123" s="350"/>
      <c r="M123" s="350"/>
    </row>
    <row r="124" spans="1:13" ht="15" customHeight="1" thickBot="1">
      <c r="A124" s="360" t="s">
        <v>181</v>
      </c>
      <c r="B124" s="360"/>
      <c r="C124" s="360"/>
      <c r="D124" s="361" t="s">
        <v>428</v>
      </c>
      <c r="E124" s="361"/>
      <c r="F124" s="361"/>
      <c r="G124" s="362"/>
      <c r="H124" s="362"/>
      <c r="I124" s="362"/>
      <c r="J124" s="362"/>
      <c r="K124" s="362"/>
      <c r="L124" s="362"/>
      <c r="M124" s="362"/>
    </row>
    <row r="125" spans="1:13" ht="15" customHeight="1" thickBot="1">
      <c r="A125" s="360"/>
      <c r="B125" s="360"/>
      <c r="C125" s="360"/>
      <c r="D125" s="361"/>
      <c r="E125" s="361"/>
      <c r="F125" s="361"/>
      <c r="G125" s="362"/>
      <c r="H125" s="362"/>
      <c r="I125" s="362"/>
      <c r="J125" s="362"/>
      <c r="K125" s="362"/>
      <c r="L125" s="362"/>
      <c r="M125" s="362"/>
    </row>
    <row r="126" spans="1:13" ht="8.1" customHeight="1" thickBot="1">
      <c r="A126" s="338"/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</row>
    <row r="127" spans="1:13" ht="12.75" customHeight="1">
      <c r="A127" s="370" t="s">
        <v>182</v>
      </c>
      <c r="B127" s="370"/>
      <c r="C127" s="370"/>
      <c r="D127" s="370"/>
      <c r="E127" s="370"/>
      <c r="F127" s="370"/>
      <c r="G127" s="371" t="s">
        <v>183</v>
      </c>
      <c r="H127" s="371"/>
      <c r="I127" s="371"/>
      <c r="J127" s="371"/>
      <c r="K127" s="371"/>
      <c r="L127" s="371"/>
      <c r="M127" s="371"/>
    </row>
    <row r="128" spans="1:13" ht="12.75" customHeight="1" thickBot="1">
      <c r="A128" s="372"/>
      <c r="B128" s="372"/>
      <c r="C128" s="372"/>
      <c r="D128" s="372"/>
      <c r="E128" s="372"/>
      <c r="F128" s="372"/>
      <c r="G128" s="362"/>
      <c r="H128" s="362"/>
      <c r="I128" s="362"/>
      <c r="J128" s="362"/>
      <c r="K128" s="362"/>
      <c r="L128" s="362"/>
      <c r="M128" s="362"/>
    </row>
    <row r="129" spans="1:13" ht="33" customHeight="1" thickBot="1">
      <c r="A129" s="372"/>
      <c r="B129" s="372"/>
      <c r="C129" s="372"/>
      <c r="D129" s="372"/>
      <c r="E129" s="372"/>
      <c r="F129" s="372"/>
      <c r="G129" s="362"/>
      <c r="H129" s="362"/>
      <c r="I129" s="362"/>
      <c r="J129" s="362"/>
      <c r="K129" s="362"/>
      <c r="L129" s="362"/>
      <c r="M129" s="362"/>
    </row>
    <row r="130" spans="1:13">
      <c r="A130" s="373" t="s">
        <v>184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</row>
    <row r="131" spans="1:13" ht="20.25">
      <c r="A131" s="377" t="s">
        <v>185</v>
      </c>
      <c r="B131" s="377"/>
      <c r="C131" s="377"/>
      <c r="D131" s="377"/>
      <c r="E131" s="377"/>
      <c r="F131" s="377"/>
      <c r="G131" s="377"/>
      <c r="H131" s="377"/>
      <c r="I131" s="377"/>
      <c r="J131" s="377"/>
      <c r="K131" s="377"/>
      <c r="L131" s="377"/>
      <c r="M131" s="377"/>
    </row>
    <row r="132" spans="1:13" ht="9" customHeight="1">
      <c r="A132" s="378"/>
      <c r="B132" s="378"/>
      <c r="C132" s="378"/>
      <c r="D132" s="378"/>
      <c r="E132" s="378"/>
      <c r="F132" s="378"/>
      <c r="G132" s="378"/>
      <c r="H132" s="378"/>
      <c r="I132" s="378"/>
      <c r="J132" s="378"/>
      <c r="K132" s="378"/>
      <c r="L132" s="378"/>
      <c r="M132" s="378"/>
    </row>
    <row r="133" spans="1:13" ht="21.95" customHeight="1">
      <c r="A133" s="98" t="s">
        <v>186</v>
      </c>
      <c r="B133" s="379" t="s">
        <v>187</v>
      </c>
      <c r="C133" s="379"/>
      <c r="D133" s="379" t="s">
        <v>188</v>
      </c>
      <c r="E133" s="379"/>
      <c r="F133" s="379"/>
      <c r="G133" s="380" t="s">
        <v>189</v>
      </c>
      <c r="H133" s="380"/>
      <c r="I133" s="380"/>
      <c r="J133" s="381" t="s">
        <v>190</v>
      </c>
      <c r="K133" s="382" t="s">
        <v>97</v>
      </c>
      <c r="L133" s="382"/>
      <c r="M133" s="382"/>
    </row>
    <row r="134" spans="1:13" ht="21.95" customHeight="1">
      <c r="A134" s="99">
        <f>$H$15</f>
        <v>2010</v>
      </c>
      <c r="B134" s="379"/>
      <c r="C134" s="379"/>
      <c r="D134" s="379"/>
      <c r="E134" s="379"/>
      <c r="F134" s="379"/>
      <c r="G134" s="380"/>
      <c r="H134" s="380"/>
      <c r="I134" s="380"/>
      <c r="J134" s="381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74" t="s">
        <v>191</v>
      </c>
      <c r="B135" s="375"/>
      <c r="C135" s="375"/>
      <c r="D135" s="375"/>
      <c r="E135" s="375"/>
      <c r="F135" s="375"/>
      <c r="G135" s="375"/>
      <c r="H135" s="375"/>
      <c r="I135" s="375"/>
      <c r="J135" s="102"/>
      <c r="K135" s="103"/>
      <c r="L135" s="103"/>
      <c r="M135" s="104"/>
    </row>
    <row r="136" spans="1:13" s="111" customFormat="1" ht="21.95" customHeight="1">
      <c r="A136" s="267" t="str">
        <f>'Fiche N° 1'!C53</f>
        <v>09/12/2010</v>
      </c>
      <c r="B136" s="555" t="str">
        <f>'Fiche N° 1'!C51</f>
        <v>LEBACQ</v>
      </c>
      <c r="C136" s="556"/>
      <c r="D136" s="106" t="str">
        <f>$G$19</f>
        <v>AA poste3</v>
      </c>
      <c r="E136" s="107" t="s">
        <v>192</v>
      </c>
      <c r="F136" s="108">
        <v>1</v>
      </c>
      <c r="G136" s="554" t="s">
        <v>446</v>
      </c>
      <c r="H136" s="554"/>
      <c r="I136" s="554"/>
      <c r="J136" s="109"/>
      <c r="K136" s="110">
        <f>'Fiche N° 1'!F31</f>
        <v>0</v>
      </c>
      <c r="L136" s="110">
        <f>'Fiche N° 1'!F32</f>
        <v>0.57999999999999996</v>
      </c>
      <c r="M136" s="110">
        <f>'Fiche N° 1'!F33</f>
        <v>0.52</v>
      </c>
    </row>
    <row r="137" spans="1:13" s="111" customFormat="1" ht="21.95" customHeight="1">
      <c r="A137" s="267">
        <f>'Fiche N° 2'!C53</f>
        <v>0</v>
      </c>
      <c r="B137" s="555">
        <f>'Fiche N° 2'!C51</f>
        <v>0</v>
      </c>
      <c r="C137" s="556"/>
      <c r="D137" s="106" t="str">
        <f t="shared" ref="D137:D160" si="0">$G$19</f>
        <v>AA poste3</v>
      </c>
      <c r="E137" s="107" t="s">
        <v>192</v>
      </c>
      <c r="F137" s="108">
        <f t="shared" ref="F137:F160" si="1">SUM(F136,1)</f>
        <v>2</v>
      </c>
      <c r="G137" s="554" t="str">
        <f>'Fiche N° 2'!E14</f>
        <v>Démantellement (récupération)</v>
      </c>
      <c r="H137" s="554"/>
      <c r="I137" s="554"/>
      <c r="J137" s="109"/>
      <c r="K137" s="110">
        <f>'Fiche N° 2'!F31</f>
        <v>0</v>
      </c>
      <c r="L137" s="110">
        <f>'Fiche N° 2'!F32</f>
        <v>0</v>
      </c>
      <c r="M137" s="110">
        <f>'Fiche N° 2'!F33</f>
        <v>0</v>
      </c>
    </row>
    <row r="138" spans="1:13" s="111" customFormat="1" ht="21.95" customHeight="1">
      <c r="A138" s="267">
        <f>'Fiche N° 3'!C53</f>
        <v>0</v>
      </c>
      <c r="B138" s="555">
        <f>'Fiche N° 3'!C51</f>
        <v>0</v>
      </c>
      <c r="C138" s="556"/>
      <c r="D138" s="106" t="str">
        <f t="shared" si="0"/>
        <v>AA poste3</v>
      </c>
      <c r="E138" s="107" t="s">
        <v>192</v>
      </c>
      <c r="F138" s="108">
        <f t="shared" si="1"/>
        <v>3</v>
      </c>
      <c r="G138" s="554" t="str">
        <f>'Fiche N° 3'!E14</f>
        <v>Démantellement (récupération)</v>
      </c>
      <c r="H138" s="554"/>
      <c r="I138" s="554"/>
      <c r="J138" s="109"/>
      <c r="K138" s="110">
        <f>'Fiche N° 3'!$F$31</f>
        <v>0</v>
      </c>
      <c r="L138" s="110">
        <f>'Fiche N° 3'!F32</f>
        <v>0</v>
      </c>
      <c r="M138" s="110">
        <f>'Fiche N° 3'!F33</f>
        <v>0</v>
      </c>
    </row>
    <row r="139" spans="1:13" s="111" customFormat="1" ht="21.95" customHeight="1">
      <c r="A139" s="267">
        <f>'Fiche N° 4'!C53</f>
        <v>0</v>
      </c>
      <c r="B139" s="555">
        <f>'Fiche N° 7'!$C$51</f>
        <v>0</v>
      </c>
      <c r="C139" s="556"/>
      <c r="D139" s="106" t="str">
        <f t="shared" si="0"/>
        <v>AA poste3</v>
      </c>
      <c r="E139" s="107" t="s">
        <v>192</v>
      </c>
      <c r="F139" s="108">
        <f t="shared" si="1"/>
        <v>4</v>
      </c>
      <c r="G139" s="554" t="str">
        <f>'Fiche N° 4'!E14</f>
        <v>Démantellement (récupération)</v>
      </c>
      <c r="H139" s="554"/>
      <c r="I139" s="554"/>
      <c r="J139" s="109"/>
      <c r="K139" s="110">
        <f>'Fiche N° 4'!$F$31</f>
        <v>0</v>
      </c>
      <c r="L139" s="110">
        <f>'Fiche N° 4'!F32</f>
        <v>0</v>
      </c>
      <c r="M139" s="110">
        <f>'Fiche N° 4'!F33</f>
        <v>0</v>
      </c>
    </row>
    <row r="140" spans="1:13" s="111" customFormat="1" ht="21.95" customHeight="1">
      <c r="A140" s="267">
        <f>'Fiche N° 5'!C53</f>
        <v>0</v>
      </c>
      <c r="B140" s="555">
        <f>'Fiche N° 7'!$C$51</f>
        <v>0</v>
      </c>
      <c r="C140" s="556"/>
      <c r="D140" s="106" t="str">
        <f t="shared" si="0"/>
        <v>AA poste3</v>
      </c>
      <c r="E140" s="107" t="s">
        <v>192</v>
      </c>
      <c r="F140" s="108">
        <f t="shared" si="1"/>
        <v>5</v>
      </c>
      <c r="G140" s="554" t="str">
        <f>'Fiche N° 5'!E14</f>
        <v>Démantellement (récupération)</v>
      </c>
      <c r="H140" s="554"/>
      <c r="I140" s="554"/>
      <c r="J140" s="109"/>
      <c r="K140" s="110">
        <f>'Fiche N° 5'!$F$31</f>
        <v>0</v>
      </c>
      <c r="L140" s="110">
        <f>'Fiche N° 5'!F32</f>
        <v>0</v>
      </c>
      <c r="M140" s="110">
        <f>'Fiche N° 5'!F33</f>
        <v>0</v>
      </c>
    </row>
    <row r="141" spans="1:13" s="111" customFormat="1" ht="21.95" customHeight="1">
      <c r="A141" s="267">
        <f>'Fiche N° 6'!C53</f>
        <v>0</v>
      </c>
      <c r="B141" s="555">
        <f>'Fiche N° 6'!C51</f>
        <v>0</v>
      </c>
      <c r="C141" s="556"/>
      <c r="D141" s="106" t="str">
        <f t="shared" si="0"/>
        <v>AA poste3</v>
      </c>
      <c r="E141" s="107" t="s">
        <v>192</v>
      </c>
      <c r="F141" s="108">
        <f t="shared" si="1"/>
        <v>6</v>
      </c>
      <c r="G141" s="554" t="str">
        <f>'Fiche N° 6'!E14</f>
        <v>Démantellement (récupération)</v>
      </c>
      <c r="H141" s="554"/>
      <c r="I141" s="554"/>
      <c r="J141" s="109"/>
      <c r="K141" s="110">
        <f>'Fiche N° 6'!$F$31</f>
        <v>0</v>
      </c>
      <c r="L141" s="110">
        <f>'Fiche N° 6'!F32</f>
        <v>0</v>
      </c>
      <c r="M141" s="110">
        <f>'Fiche N° 6'!F33</f>
        <v>0</v>
      </c>
    </row>
    <row r="142" spans="1:13" s="111" customFormat="1" ht="21.95" customHeight="1">
      <c r="A142" s="267">
        <f>'Fiche N° 7'!C53</f>
        <v>0</v>
      </c>
      <c r="B142" s="555">
        <f>'Fiche N° 7'!$C$51</f>
        <v>0</v>
      </c>
      <c r="C142" s="556"/>
      <c r="D142" s="106" t="str">
        <f t="shared" si="0"/>
        <v>AA poste3</v>
      </c>
      <c r="E142" s="107" t="s">
        <v>192</v>
      </c>
      <c r="F142" s="108">
        <f t="shared" si="1"/>
        <v>7</v>
      </c>
      <c r="G142" s="554" t="str">
        <f>'Fiche N° 7'!$E$14</f>
        <v>Démantellement (récupération)</v>
      </c>
      <c r="H142" s="554"/>
      <c r="I142" s="554"/>
      <c r="J142" s="109"/>
      <c r="K142" s="110">
        <f>'Fiche N° 7'!$F$31</f>
        <v>0</v>
      </c>
      <c r="L142" s="110">
        <f>'Fiche N° 7'!$F$32</f>
        <v>0</v>
      </c>
      <c r="M142" s="110">
        <f>'Fiche N° 7'!$F$33</f>
        <v>0</v>
      </c>
    </row>
    <row r="143" spans="1:13" s="111" customFormat="1" ht="21.95" customHeight="1">
      <c r="A143" s="267">
        <f>'Fiche N° 8'!C53</f>
        <v>0</v>
      </c>
      <c r="B143" s="555">
        <f>'Fiche N° 8'!$C$51</f>
        <v>0</v>
      </c>
      <c r="C143" s="556"/>
      <c r="D143" s="106" t="str">
        <f t="shared" si="0"/>
        <v>AA poste3</v>
      </c>
      <c r="E143" s="107" t="s">
        <v>192</v>
      </c>
      <c r="F143" s="108">
        <f t="shared" si="1"/>
        <v>8</v>
      </c>
      <c r="G143" s="554" t="str">
        <f>'Fiche N° 8'!$E$14</f>
        <v>Démantellement (récupération)</v>
      </c>
      <c r="H143" s="554"/>
      <c r="I143" s="554"/>
      <c r="J143" s="109"/>
      <c r="K143" s="110">
        <f>'Fiche N° 8'!$F$31</f>
        <v>0</v>
      </c>
      <c r="L143" s="110">
        <f>'Fiche N° 8'!$F$32</f>
        <v>0</v>
      </c>
      <c r="M143" s="110">
        <f>'Fiche N° 8'!$F$33</f>
        <v>0</v>
      </c>
    </row>
    <row r="144" spans="1:13" s="111" customFormat="1" ht="21.95" customHeight="1">
      <c r="A144" s="267">
        <f>'Fiche N° 9'!C53</f>
        <v>0</v>
      </c>
      <c r="B144" s="555">
        <f>'Fiche N° 9'!$C$51</f>
        <v>0</v>
      </c>
      <c r="C144" s="556"/>
      <c r="D144" s="106" t="str">
        <f t="shared" si="0"/>
        <v>AA poste3</v>
      </c>
      <c r="E144" s="107" t="s">
        <v>192</v>
      </c>
      <c r="F144" s="108">
        <f t="shared" si="1"/>
        <v>9</v>
      </c>
      <c r="G144" s="554" t="str">
        <f>'Fiche N° 9'!$E$14</f>
        <v>Démantellement (récupération)</v>
      </c>
      <c r="H144" s="554"/>
      <c r="I144" s="554"/>
      <c r="J144" s="109"/>
      <c r="K144" s="110">
        <f>'Fiche N° 9'!$F$31</f>
        <v>0</v>
      </c>
      <c r="L144" s="110">
        <f>'Fiche N° 9'!$F$32</f>
        <v>0</v>
      </c>
      <c r="M144" s="110">
        <f>'Fiche N° 9'!$F$33</f>
        <v>0</v>
      </c>
    </row>
    <row r="145" spans="1:13" s="111" customFormat="1" ht="21.95" customHeight="1">
      <c r="A145" s="267">
        <f>'Fiche N° 10'!C53</f>
        <v>0</v>
      </c>
      <c r="B145" s="555">
        <f>'Fiche N° 10'!$C$51</f>
        <v>0</v>
      </c>
      <c r="C145" s="556"/>
      <c r="D145" s="106" t="str">
        <f t="shared" si="0"/>
        <v>AA poste3</v>
      </c>
      <c r="E145" s="107" t="s">
        <v>192</v>
      </c>
      <c r="F145" s="108">
        <f t="shared" si="1"/>
        <v>10</v>
      </c>
      <c r="G145" s="554" t="str">
        <f>'Fiche N° 10'!$E$14</f>
        <v>Démantellement (récupération)</v>
      </c>
      <c r="H145" s="554"/>
      <c r="I145" s="554"/>
      <c r="J145" s="109"/>
      <c r="K145" s="110">
        <f>'Fiche N° 10'!$F$31</f>
        <v>0</v>
      </c>
      <c r="L145" s="112">
        <f>'Fiche N° 10'!$F$32</f>
        <v>0</v>
      </c>
      <c r="M145" s="110">
        <f>'Fiche N° 10'!$F$33</f>
        <v>0</v>
      </c>
    </row>
    <row r="146" spans="1:13" s="111" customFormat="1" ht="21.95" customHeight="1">
      <c r="A146" s="267">
        <f>'Fiche N° 11'!C53</f>
        <v>0</v>
      </c>
      <c r="B146" s="555">
        <f>'Fiche N° 11'!$C$51</f>
        <v>0</v>
      </c>
      <c r="C146" s="556"/>
      <c r="D146" s="106" t="str">
        <f t="shared" si="0"/>
        <v>AA poste3</v>
      </c>
      <c r="E146" s="107" t="s">
        <v>192</v>
      </c>
      <c r="F146" s="108">
        <f t="shared" si="1"/>
        <v>11</v>
      </c>
      <c r="G146" s="554" t="str">
        <f>'Fiche N° 11'!$E$14</f>
        <v>Démantellement (récupération)</v>
      </c>
      <c r="H146" s="554"/>
      <c r="I146" s="554"/>
      <c r="J146" s="109"/>
      <c r="K146" s="110">
        <f>'Fiche N° 11'!$F$31</f>
        <v>0</v>
      </c>
      <c r="L146" s="110">
        <f>'Fiche N° 11'!$F$32</f>
        <v>0</v>
      </c>
      <c r="M146" s="110">
        <f>'Fiche N° 11'!$F$33</f>
        <v>0</v>
      </c>
    </row>
    <row r="147" spans="1:13" s="111" customFormat="1" ht="21.95" customHeight="1">
      <c r="A147" s="267">
        <f>'Fiche N° 12'!C53</f>
        <v>0</v>
      </c>
      <c r="B147" s="555">
        <f>'Fiche N° 12'!$C$51</f>
        <v>0</v>
      </c>
      <c r="C147" s="556"/>
      <c r="D147" s="106" t="str">
        <f t="shared" si="0"/>
        <v>AA poste3</v>
      </c>
      <c r="E147" s="107" t="s">
        <v>192</v>
      </c>
      <c r="F147" s="108">
        <f t="shared" si="1"/>
        <v>12</v>
      </c>
      <c r="G147" s="554" t="str">
        <f>'Fiche N° 12'!$E$14</f>
        <v>Démantellement (récupération)</v>
      </c>
      <c r="H147" s="554"/>
      <c r="I147" s="554"/>
      <c r="J147" s="109"/>
      <c r="K147" s="110">
        <f>'Fiche N° 12'!$F$31</f>
        <v>0</v>
      </c>
      <c r="L147" s="110">
        <f>'Fiche N° 12'!$F$32</f>
        <v>0</v>
      </c>
      <c r="M147" s="110">
        <f>'Fiche N° 12'!$F$33</f>
        <v>0</v>
      </c>
    </row>
    <row r="148" spans="1:13" s="111" customFormat="1" ht="21.95" customHeight="1">
      <c r="A148" s="267">
        <f>'Fiche N° 13'!C53</f>
        <v>0</v>
      </c>
      <c r="B148" s="555">
        <f>'Fiche N° 13'!$C$51</f>
        <v>0</v>
      </c>
      <c r="C148" s="556"/>
      <c r="D148" s="106" t="str">
        <f t="shared" si="0"/>
        <v>AA poste3</v>
      </c>
      <c r="E148" s="107" t="s">
        <v>192</v>
      </c>
      <c r="F148" s="108">
        <f t="shared" si="1"/>
        <v>13</v>
      </c>
      <c r="G148" s="554" t="str">
        <f>'Fiche N° 13'!$E$14</f>
        <v>Démantellement (récupération)</v>
      </c>
      <c r="H148" s="554"/>
      <c r="I148" s="554"/>
      <c r="J148" s="109"/>
      <c r="K148" s="110">
        <f>'Fiche N° 13'!$F$31</f>
        <v>0</v>
      </c>
      <c r="L148" s="110">
        <f>'Fiche N° 13'!$F$32</f>
        <v>0</v>
      </c>
      <c r="M148" s="110">
        <f>'Fiche N° 13'!$F$33</f>
        <v>0</v>
      </c>
    </row>
    <row r="149" spans="1:13" s="111" customFormat="1" ht="21.95" customHeight="1">
      <c r="A149" s="267">
        <f>'Fiche N° 14'!C53</f>
        <v>0</v>
      </c>
      <c r="B149" s="555">
        <f>'Fiche N° 14'!$C$51</f>
        <v>0</v>
      </c>
      <c r="C149" s="556"/>
      <c r="D149" s="106" t="str">
        <f t="shared" si="0"/>
        <v>AA poste3</v>
      </c>
      <c r="E149" s="107" t="s">
        <v>192</v>
      </c>
      <c r="F149" s="108">
        <f t="shared" si="1"/>
        <v>14</v>
      </c>
      <c r="G149" s="554" t="str">
        <f>'Fiche N° 14'!$E$14</f>
        <v>Démantellement (récupération)</v>
      </c>
      <c r="H149" s="554"/>
      <c r="I149" s="554"/>
      <c r="J149" s="109"/>
      <c r="K149" s="110">
        <f>'Fiche N° 14'!$F$31</f>
        <v>0</v>
      </c>
      <c r="L149" s="110">
        <f>'Fiche N° 14'!$F$32</f>
        <v>0</v>
      </c>
      <c r="M149" s="110">
        <f>'Fiche N° 14'!$F$33</f>
        <v>0</v>
      </c>
    </row>
    <row r="150" spans="1:13" s="111" customFormat="1" ht="21.95" customHeight="1">
      <c r="A150" s="267">
        <f>'Fiche N° 15'!C53</f>
        <v>0</v>
      </c>
      <c r="B150" s="555">
        <f>'Fiche N° 15'!$C$51</f>
        <v>0</v>
      </c>
      <c r="C150" s="556"/>
      <c r="D150" s="106" t="str">
        <f t="shared" si="0"/>
        <v>AA poste3</v>
      </c>
      <c r="E150" s="107" t="s">
        <v>192</v>
      </c>
      <c r="F150" s="108">
        <f t="shared" si="1"/>
        <v>15</v>
      </c>
      <c r="G150" s="554" t="str">
        <f>'Fiche N° 15'!$E$14</f>
        <v>Démantellement (récupération)</v>
      </c>
      <c r="H150" s="554"/>
      <c r="I150" s="554"/>
      <c r="J150" s="109"/>
      <c r="K150" s="110">
        <f>'Fiche N° 15'!$F$31</f>
        <v>0</v>
      </c>
      <c r="L150" s="110">
        <f>'Fiche N° 15'!$F$32</f>
        <v>0</v>
      </c>
      <c r="M150" s="110">
        <f>'Fiche N° 15'!$F$33</f>
        <v>0</v>
      </c>
    </row>
    <row r="151" spans="1:13" s="111" customFormat="1" ht="21.95" customHeight="1">
      <c r="A151" s="267">
        <f>'Fiche N° 16'!C53</f>
        <v>0</v>
      </c>
      <c r="B151" s="555">
        <f>'Fiche N° 16'!$C$51</f>
        <v>0</v>
      </c>
      <c r="C151" s="556"/>
      <c r="D151" s="106" t="str">
        <f t="shared" si="0"/>
        <v>AA poste3</v>
      </c>
      <c r="E151" s="107" t="s">
        <v>192</v>
      </c>
      <c r="F151" s="108">
        <f t="shared" si="1"/>
        <v>16</v>
      </c>
      <c r="G151" s="554" t="str">
        <f>'Fiche N° 16'!$E$14</f>
        <v>Démantellement (récupération)</v>
      </c>
      <c r="H151" s="554"/>
      <c r="I151" s="554"/>
      <c r="J151" s="109"/>
      <c r="K151" s="110">
        <f>'Fiche N° 16'!$F$31</f>
        <v>0</v>
      </c>
      <c r="L151" s="110">
        <f>'Fiche N° 16'!$F$32</f>
        <v>0</v>
      </c>
      <c r="M151" s="110">
        <f>'Fiche N° 16'!$F$33</f>
        <v>0</v>
      </c>
    </row>
    <row r="152" spans="1:13" s="111" customFormat="1" ht="21.95" customHeight="1">
      <c r="A152" s="267">
        <f>'Fiche N° 17'!C53</f>
        <v>0</v>
      </c>
      <c r="B152" s="555">
        <f>'Fiche N° 17'!$C$51</f>
        <v>0</v>
      </c>
      <c r="C152" s="556"/>
      <c r="D152" s="106" t="str">
        <f t="shared" si="0"/>
        <v>AA poste3</v>
      </c>
      <c r="E152" s="107" t="s">
        <v>192</v>
      </c>
      <c r="F152" s="108">
        <f t="shared" si="1"/>
        <v>17</v>
      </c>
      <c r="G152" s="554" t="str">
        <f>'Fiche N° 17'!$E$14</f>
        <v>Démantellement (récupération)</v>
      </c>
      <c r="H152" s="554"/>
      <c r="I152" s="554"/>
      <c r="J152" s="109"/>
      <c r="K152" s="110">
        <f>'Fiche N° 17'!$F$31</f>
        <v>0</v>
      </c>
      <c r="L152" s="110">
        <f>'Fiche N° 17'!$F$32</f>
        <v>0</v>
      </c>
      <c r="M152" s="110">
        <f>'Fiche N° 17'!$F$33</f>
        <v>0</v>
      </c>
    </row>
    <row r="153" spans="1:13" s="111" customFormat="1" ht="21.95" customHeight="1">
      <c r="A153" s="267">
        <f>'Fiche N° 18'!C53</f>
        <v>0</v>
      </c>
      <c r="B153" s="555">
        <f>'Fiche N° 18'!$C$51</f>
        <v>0</v>
      </c>
      <c r="C153" s="556"/>
      <c r="D153" s="106" t="str">
        <f t="shared" si="0"/>
        <v>AA poste3</v>
      </c>
      <c r="E153" s="107" t="s">
        <v>192</v>
      </c>
      <c r="F153" s="108">
        <f t="shared" si="1"/>
        <v>18</v>
      </c>
      <c r="G153" s="554" t="str">
        <f>'Fiche N° 18'!$E$14</f>
        <v>Démantellement (récupération)</v>
      </c>
      <c r="H153" s="554"/>
      <c r="I153" s="554"/>
      <c r="J153" s="109"/>
      <c r="K153" s="110">
        <f>'Fiche N° 18'!$F$31</f>
        <v>0</v>
      </c>
      <c r="L153" s="110">
        <f>'Fiche N° 18'!$F$32</f>
        <v>0</v>
      </c>
      <c r="M153" s="110">
        <f>'Fiche N° 18'!$F$33</f>
        <v>0</v>
      </c>
    </row>
    <row r="154" spans="1:13" s="111" customFormat="1" ht="21.95" customHeight="1">
      <c r="A154" s="267">
        <f>'Fiche N° 19'!C53</f>
        <v>0</v>
      </c>
      <c r="B154" s="555">
        <f>'Fiche N° 19'!$C$51</f>
        <v>0</v>
      </c>
      <c r="C154" s="556"/>
      <c r="D154" s="106" t="str">
        <f t="shared" si="0"/>
        <v>AA poste3</v>
      </c>
      <c r="E154" s="107" t="s">
        <v>192</v>
      </c>
      <c r="F154" s="108">
        <f t="shared" si="1"/>
        <v>19</v>
      </c>
      <c r="G154" s="554" t="str">
        <f>'Fiche N° 19'!$E$14</f>
        <v>Démantellement (récupération)</v>
      </c>
      <c r="H154" s="554"/>
      <c r="I154" s="554"/>
      <c r="J154" s="109"/>
      <c r="K154" s="110">
        <f>'Fiche N° 19'!$F$31</f>
        <v>0</v>
      </c>
      <c r="L154" s="110">
        <f>'Fiche N° 19'!$F$32</f>
        <v>0</v>
      </c>
      <c r="M154" s="110">
        <f>'Fiche N° 19'!$F$33</f>
        <v>0</v>
      </c>
    </row>
    <row r="155" spans="1:13" s="111" customFormat="1" ht="21.95" customHeight="1">
      <c r="A155" s="267">
        <f>'Fiche N° 20'!C53</f>
        <v>0</v>
      </c>
      <c r="B155" s="555">
        <f>'Fiche N° 20'!$C$51</f>
        <v>0</v>
      </c>
      <c r="C155" s="556"/>
      <c r="D155" s="106" t="str">
        <f t="shared" si="0"/>
        <v>AA poste3</v>
      </c>
      <c r="E155" s="107" t="s">
        <v>192</v>
      </c>
      <c r="F155" s="108">
        <f t="shared" si="1"/>
        <v>20</v>
      </c>
      <c r="G155" s="554" t="str">
        <f>'Fiche N° 20'!$E$14</f>
        <v>Démantellement (récupération)</v>
      </c>
      <c r="H155" s="554"/>
      <c r="I155" s="554"/>
      <c r="J155" s="109"/>
      <c r="K155" s="110">
        <f>'Fiche N° 20'!$F$31</f>
        <v>0</v>
      </c>
      <c r="L155" s="110">
        <f>'Fiche N° 20'!$F$32</f>
        <v>0</v>
      </c>
      <c r="M155" s="110">
        <f>'Fiche N° 20'!$F$33</f>
        <v>0</v>
      </c>
    </row>
    <row r="156" spans="1:13" s="111" customFormat="1" ht="21.95" customHeight="1">
      <c r="A156" s="267">
        <f>'Fiche N° 21'!C53</f>
        <v>0</v>
      </c>
      <c r="B156" s="555">
        <f>'Fiche N° 21'!$C$51</f>
        <v>0</v>
      </c>
      <c r="C156" s="556"/>
      <c r="D156" s="106" t="str">
        <f t="shared" si="0"/>
        <v>AA poste3</v>
      </c>
      <c r="E156" s="107" t="s">
        <v>192</v>
      </c>
      <c r="F156" s="108">
        <f t="shared" si="1"/>
        <v>21</v>
      </c>
      <c r="G156" s="554" t="str">
        <f>'Fiche N° 21'!$E$14</f>
        <v>Démantellement (récupération)</v>
      </c>
      <c r="H156" s="554"/>
      <c r="I156" s="554"/>
      <c r="J156" s="109"/>
      <c r="K156" s="110">
        <f>'Fiche N° 21'!$F$31</f>
        <v>0</v>
      </c>
      <c r="L156" s="110">
        <f>'Fiche N° 21'!$F$32</f>
        <v>0</v>
      </c>
      <c r="M156" s="110">
        <f>'Fiche N° 21'!$F$33</f>
        <v>0</v>
      </c>
    </row>
    <row r="157" spans="1:13" s="111" customFormat="1" ht="21.95" customHeight="1">
      <c r="A157" s="267">
        <f>'Fiche N° 22'!C53</f>
        <v>0</v>
      </c>
      <c r="B157" s="555">
        <f>'Fiche N° 22'!$C$51</f>
        <v>0</v>
      </c>
      <c r="C157" s="556"/>
      <c r="D157" s="106" t="str">
        <f t="shared" si="0"/>
        <v>AA poste3</v>
      </c>
      <c r="E157" s="107" t="s">
        <v>192</v>
      </c>
      <c r="F157" s="108">
        <f t="shared" si="1"/>
        <v>22</v>
      </c>
      <c r="G157" s="554" t="str">
        <f>'Fiche N° 22'!$E$14</f>
        <v>Démantellement (récupération)</v>
      </c>
      <c r="H157" s="554"/>
      <c r="I157" s="554"/>
      <c r="J157" s="109"/>
      <c r="K157" s="110">
        <f>'Fiche N° 22'!$F$31</f>
        <v>0</v>
      </c>
      <c r="L157" s="110">
        <f>'Fiche N° 22'!$F$32</f>
        <v>0</v>
      </c>
      <c r="M157" s="110">
        <f>'Fiche N° 22'!$F$33</f>
        <v>0</v>
      </c>
    </row>
    <row r="158" spans="1:13" s="111" customFormat="1" ht="21.95" customHeight="1">
      <c r="A158" s="267">
        <f>'Fiche N° 23'!C53</f>
        <v>0</v>
      </c>
      <c r="B158" s="555">
        <f>'Fiche N° 23'!$C$51</f>
        <v>0</v>
      </c>
      <c r="C158" s="556"/>
      <c r="D158" s="106" t="str">
        <f t="shared" si="0"/>
        <v>AA poste3</v>
      </c>
      <c r="E158" s="107" t="s">
        <v>192</v>
      </c>
      <c r="F158" s="108">
        <f t="shared" si="1"/>
        <v>23</v>
      </c>
      <c r="G158" s="554" t="str">
        <f>'Fiche N° 23'!$E$14</f>
        <v>Démantellement (récupération)</v>
      </c>
      <c r="H158" s="554"/>
      <c r="I158" s="554"/>
      <c r="J158" s="109"/>
      <c r="K158" s="110">
        <f>'Fiche N° 23'!$F$31</f>
        <v>0</v>
      </c>
      <c r="L158" s="110">
        <f>'Fiche N° 23'!$F$32</f>
        <v>0</v>
      </c>
      <c r="M158" s="110">
        <f>'Fiche N° 23'!$F$33</f>
        <v>0</v>
      </c>
    </row>
    <row r="159" spans="1:13" s="111" customFormat="1" ht="21.95" customHeight="1">
      <c r="A159" s="267">
        <f>'Fiche N° 24'!C53</f>
        <v>0</v>
      </c>
      <c r="B159" s="555">
        <f>'Fiche N° 24'!$C$51</f>
        <v>0</v>
      </c>
      <c r="C159" s="556"/>
      <c r="D159" s="106" t="str">
        <f t="shared" si="0"/>
        <v>AA poste3</v>
      </c>
      <c r="E159" s="107" t="s">
        <v>192</v>
      </c>
      <c r="F159" s="108">
        <f t="shared" si="1"/>
        <v>24</v>
      </c>
      <c r="G159" s="554" t="str">
        <f>'Fiche N° 24'!$E$14</f>
        <v>Démantellement (récupération)</v>
      </c>
      <c r="H159" s="554"/>
      <c r="I159" s="554"/>
      <c r="J159" s="109"/>
      <c r="K159" s="110">
        <f>'Fiche N° 24'!$F$31</f>
        <v>0</v>
      </c>
      <c r="L159" s="110">
        <f>'Fiche N° 24'!$F$32</f>
        <v>0</v>
      </c>
      <c r="M159" s="110">
        <f>'Fiche N° 24'!$F$33</f>
        <v>0</v>
      </c>
    </row>
    <row r="160" spans="1:13" s="111" customFormat="1" ht="21.95" customHeight="1">
      <c r="A160" s="267">
        <f>'Fiche N° 25'!C53</f>
        <v>0</v>
      </c>
      <c r="B160" s="555">
        <f>'Fiche N° 25'!$C$51</f>
        <v>0</v>
      </c>
      <c r="C160" s="556"/>
      <c r="D160" s="106" t="str">
        <f t="shared" si="0"/>
        <v>AA poste3</v>
      </c>
      <c r="E160" s="107" t="s">
        <v>192</v>
      </c>
      <c r="F160" s="108">
        <f t="shared" si="1"/>
        <v>25</v>
      </c>
      <c r="G160" s="554" t="str">
        <f>'Fiche N° 25'!$E$14</f>
        <v>Démantellement (récupération)</v>
      </c>
      <c r="H160" s="554"/>
      <c r="I160" s="554"/>
      <c r="J160" s="109"/>
      <c r="K160" s="110">
        <f>'Fiche N° 25'!$F$31</f>
        <v>0</v>
      </c>
      <c r="L160" s="110">
        <f>'Fiche N° 25'!$F$32</f>
        <v>0</v>
      </c>
      <c r="M160" s="110">
        <f>'Fiche N° 25'!$F$33</f>
        <v>0</v>
      </c>
    </row>
    <row r="161" spans="1:13" s="111" customFormat="1" ht="12" customHeight="1">
      <c r="A161" s="383"/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</row>
    <row r="162" spans="1:13" ht="21.95" customHeight="1">
      <c r="A162" s="384" t="s">
        <v>193</v>
      </c>
      <c r="B162" s="384"/>
      <c r="C162" s="384"/>
      <c r="D162" s="384"/>
      <c r="E162" s="384"/>
      <c r="F162" s="384"/>
      <c r="G162" s="384"/>
      <c r="H162" s="384"/>
      <c r="I162" s="384"/>
      <c r="J162" s="384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85" t="s">
        <v>194</v>
      </c>
      <c r="B163" s="385"/>
      <c r="C163" s="385"/>
      <c r="D163" s="385"/>
      <c r="E163" s="385"/>
      <c r="F163" s="385"/>
      <c r="G163" s="385"/>
      <c r="H163" s="385"/>
      <c r="I163" s="386" t="s">
        <v>195</v>
      </c>
      <c r="J163" s="386"/>
      <c r="K163" s="113">
        <f>SUM(K136:K160)</f>
        <v>0</v>
      </c>
      <c r="L163" s="113">
        <f>SUM(L135:L160)</f>
        <v>0.57999999999999996</v>
      </c>
      <c r="M163" s="114">
        <f>SUM(M135:M160)</f>
        <v>0.52</v>
      </c>
    </row>
    <row r="164" spans="1:13" ht="21.95" customHeight="1" thickBot="1">
      <c r="A164" s="388" t="s">
        <v>196</v>
      </c>
      <c r="B164" s="388"/>
      <c r="C164" s="388"/>
      <c r="D164" s="388"/>
      <c r="E164" s="388"/>
      <c r="F164" s="388"/>
      <c r="G164" s="388"/>
      <c r="H164" s="388"/>
      <c r="I164" s="388"/>
      <c r="J164" s="388"/>
      <c r="K164" s="389">
        <f>K163+L163-M163</f>
        <v>5.9999999999999942E-2</v>
      </c>
      <c r="L164" s="389"/>
      <c r="M164" s="389"/>
    </row>
    <row r="165" spans="1:13" ht="20.25">
      <c r="A165" s="377" t="s">
        <v>185</v>
      </c>
      <c r="B165" s="377"/>
      <c r="C165" s="377"/>
      <c r="D165" s="377"/>
      <c r="E165" s="377"/>
      <c r="F165" s="377"/>
      <c r="G165" s="377"/>
      <c r="H165" s="377"/>
      <c r="I165" s="377"/>
      <c r="J165" s="377"/>
      <c r="K165" s="377"/>
      <c r="L165" s="377"/>
      <c r="M165" s="377"/>
    </row>
    <row r="166" spans="1:13" ht="8.25" customHeight="1">
      <c r="A166" s="378"/>
      <c r="B166" s="378"/>
      <c r="C166" s="378"/>
      <c r="D166" s="378"/>
      <c r="E166" s="378"/>
      <c r="F166" s="378"/>
      <c r="G166" s="378"/>
      <c r="H166" s="378"/>
      <c r="I166" s="378"/>
      <c r="J166" s="378"/>
      <c r="K166" s="378"/>
      <c r="L166" s="378"/>
      <c r="M166" s="378"/>
    </row>
    <row r="167" spans="1:13" ht="21.95" customHeight="1">
      <c r="A167" s="98" t="s">
        <v>186</v>
      </c>
      <c r="B167" s="379" t="s">
        <v>187</v>
      </c>
      <c r="C167" s="379"/>
      <c r="D167" s="379" t="s">
        <v>188</v>
      </c>
      <c r="E167" s="379"/>
      <c r="F167" s="379"/>
      <c r="G167" s="380" t="s">
        <v>189</v>
      </c>
      <c r="H167" s="380"/>
      <c r="I167" s="380"/>
      <c r="J167" s="381" t="s">
        <v>190</v>
      </c>
      <c r="K167" s="382" t="s">
        <v>97</v>
      </c>
      <c r="L167" s="382"/>
      <c r="M167" s="382"/>
    </row>
    <row r="168" spans="1:13" ht="21.95" customHeight="1">
      <c r="A168" s="99">
        <f>$H$15</f>
        <v>2010</v>
      </c>
      <c r="B168" s="379"/>
      <c r="C168" s="379"/>
      <c r="D168" s="379"/>
      <c r="E168" s="379"/>
      <c r="F168" s="379"/>
      <c r="G168" s="380"/>
      <c r="H168" s="380"/>
      <c r="I168" s="380"/>
      <c r="J168" s="381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87" t="s">
        <v>197</v>
      </c>
      <c r="B169" s="387"/>
      <c r="C169" s="387"/>
      <c r="D169" s="387"/>
      <c r="E169" s="387"/>
      <c r="F169" s="387"/>
      <c r="G169" s="387"/>
      <c r="H169" s="387"/>
      <c r="I169" s="387"/>
      <c r="J169" s="102"/>
      <c r="K169" s="103">
        <f>K163</f>
        <v>0</v>
      </c>
      <c r="L169" s="103">
        <f>L163</f>
        <v>0.57999999999999996</v>
      </c>
      <c r="M169" s="104">
        <f>M163</f>
        <v>0.52</v>
      </c>
    </row>
    <row r="170" spans="1:13" ht="21.95" customHeight="1">
      <c r="A170" s="105">
        <f>'Fiche N° 26'!C53</f>
        <v>0</v>
      </c>
      <c r="B170" s="556">
        <f>'Fiche N° 26'!C51</f>
        <v>0</v>
      </c>
      <c r="C170" s="556"/>
      <c r="D170" s="106" t="str">
        <f t="shared" ref="D170:D194" si="2">$G$19</f>
        <v>AA poste3</v>
      </c>
      <c r="E170" s="107" t="s">
        <v>192</v>
      </c>
      <c r="F170" s="108">
        <f>SUM(F160,1)</f>
        <v>26</v>
      </c>
      <c r="G170" s="554" t="str">
        <f>'Fiche N° 26'!E14</f>
        <v>Démantellement (récupération)</v>
      </c>
      <c r="H170" s="554"/>
      <c r="I170" s="554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556">
        <f>'Fiche N° 27'!C51</f>
        <v>0</v>
      </c>
      <c r="C171" s="556"/>
      <c r="D171" s="106" t="str">
        <f t="shared" si="2"/>
        <v>AA poste3</v>
      </c>
      <c r="E171" s="107" t="s">
        <v>192</v>
      </c>
      <c r="F171" s="108">
        <f t="shared" ref="F171:F194" si="3">SUM(F170,1)</f>
        <v>27</v>
      </c>
      <c r="G171" s="554" t="str">
        <f>'Fiche N° 27'!E14</f>
        <v>Démantellement (récupération)</v>
      </c>
      <c r="H171" s="554"/>
      <c r="I171" s="554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556">
        <f>'Fiche N° 28'!C51</f>
        <v>0</v>
      </c>
      <c r="C172" s="556"/>
      <c r="D172" s="106" t="str">
        <f t="shared" si="2"/>
        <v>AA poste3</v>
      </c>
      <c r="E172" s="107" t="s">
        <v>192</v>
      </c>
      <c r="F172" s="108">
        <f t="shared" si="3"/>
        <v>28</v>
      </c>
      <c r="G172" s="554" t="str">
        <f>'Fiche N° 28'!E14</f>
        <v>Démantellement (récupération)</v>
      </c>
      <c r="H172" s="554"/>
      <c r="I172" s="554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556">
        <f>'Fiche N° 29'!C51</f>
        <v>0</v>
      </c>
      <c r="C173" s="556"/>
      <c r="D173" s="106" t="str">
        <f t="shared" si="2"/>
        <v>AA poste3</v>
      </c>
      <c r="E173" s="107" t="s">
        <v>192</v>
      </c>
      <c r="F173" s="108">
        <f t="shared" si="3"/>
        <v>29</v>
      </c>
      <c r="G173" s="554" t="str">
        <f>'Fiche N° 29'!E14</f>
        <v>Démantellement (récupération)</v>
      </c>
      <c r="H173" s="554"/>
      <c r="I173" s="554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556">
        <f>'Fiche N° 30'!C51</f>
        <v>0</v>
      </c>
      <c r="C174" s="556"/>
      <c r="D174" s="106" t="str">
        <f t="shared" si="2"/>
        <v>AA poste3</v>
      </c>
      <c r="E174" s="107" t="s">
        <v>192</v>
      </c>
      <c r="F174" s="108">
        <f t="shared" si="3"/>
        <v>30</v>
      </c>
      <c r="G174" s="554" t="str">
        <f>'Fiche N° 30'!E14</f>
        <v>Démantellement (récupération)</v>
      </c>
      <c r="H174" s="554"/>
      <c r="I174" s="554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556">
        <f>'Fiche N° 31'!C51</f>
        <v>0</v>
      </c>
      <c r="C175" s="556"/>
      <c r="D175" s="106" t="str">
        <f t="shared" si="2"/>
        <v>AA poste3</v>
      </c>
      <c r="E175" s="107" t="s">
        <v>192</v>
      </c>
      <c r="F175" s="108">
        <f t="shared" si="3"/>
        <v>31</v>
      </c>
      <c r="G175" s="554" t="str">
        <f>'Fiche N° 31'!E14</f>
        <v>Démantellement (récupération)</v>
      </c>
      <c r="H175" s="554"/>
      <c r="I175" s="554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556">
        <f>'Fiche N° 32'!C51</f>
        <v>0</v>
      </c>
      <c r="C176" s="556"/>
      <c r="D176" s="106" t="str">
        <f t="shared" si="2"/>
        <v>AA poste3</v>
      </c>
      <c r="E176" s="107" t="s">
        <v>192</v>
      </c>
      <c r="F176" s="108">
        <f t="shared" si="3"/>
        <v>32</v>
      </c>
      <c r="G176" s="554" t="str">
        <f>'Fiche N° 32'!E14</f>
        <v>Démantellement (récupération)</v>
      </c>
      <c r="H176" s="554"/>
      <c r="I176" s="554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556">
        <f>'Fiche N° 33'!C51</f>
        <v>0</v>
      </c>
      <c r="C177" s="556"/>
      <c r="D177" s="106" t="str">
        <f t="shared" si="2"/>
        <v>AA poste3</v>
      </c>
      <c r="E177" s="107" t="s">
        <v>192</v>
      </c>
      <c r="F177" s="108">
        <f t="shared" si="3"/>
        <v>33</v>
      </c>
      <c r="G177" s="554" t="str">
        <f>'Fiche N° 33'!E14</f>
        <v>Démantellement (récupération)</v>
      </c>
      <c r="H177" s="554"/>
      <c r="I177" s="554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556">
        <f>'Fiche N° 34'!C51</f>
        <v>0</v>
      </c>
      <c r="C178" s="556"/>
      <c r="D178" s="106" t="str">
        <f t="shared" si="2"/>
        <v>AA poste3</v>
      </c>
      <c r="E178" s="107" t="s">
        <v>192</v>
      </c>
      <c r="F178" s="108">
        <f t="shared" si="3"/>
        <v>34</v>
      </c>
      <c r="G178" s="554" t="str">
        <f>'Fiche N° 34'!E14</f>
        <v>Démantellement (récupération)</v>
      </c>
      <c r="H178" s="554"/>
      <c r="I178" s="554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556">
        <f>'Fiche N° 35'!C51</f>
        <v>0</v>
      </c>
      <c r="C179" s="556"/>
      <c r="D179" s="106" t="str">
        <f t="shared" si="2"/>
        <v>AA poste3</v>
      </c>
      <c r="E179" s="107" t="s">
        <v>192</v>
      </c>
      <c r="F179" s="108">
        <f t="shared" si="3"/>
        <v>35</v>
      </c>
      <c r="G179" s="554" t="str">
        <f>'Fiche N° 35'!E14</f>
        <v>Démantellement (récupération)</v>
      </c>
      <c r="H179" s="554"/>
      <c r="I179" s="554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556">
        <f>'Fiche N° 36'!C51</f>
        <v>0</v>
      </c>
      <c r="C180" s="556"/>
      <c r="D180" s="106" t="str">
        <f t="shared" si="2"/>
        <v>AA poste3</v>
      </c>
      <c r="E180" s="107" t="s">
        <v>192</v>
      </c>
      <c r="F180" s="108">
        <f t="shared" si="3"/>
        <v>36</v>
      </c>
      <c r="G180" s="554" t="str">
        <f>'Fiche N° 36'!E14</f>
        <v>Démantellement (récupération)</v>
      </c>
      <c r="H180" s="554"/>
      <c r="I180" s="554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556">
        <f>'Fiche N° 37'!C51</f>
        <v>0</v>
      </c>
      <c r="C181" s="556"/>
      <c r="D181" s="106" t="str">
        <f t="shared" si="2"/>
        <v>AA poste3</v>
      </c>
      <c r="E181" s="107" t="s">
        <v>192</v>
      </c>
      <c r="F181" s="108">
        <f t="shared" si="3"/>
        <v>37</v>
      </c>
      <c r="G181" s="554" t="str">
        <f>'Fiche N° 37'!E14</f>
        <v>Démantellement (récupération)</v>
      </c>
      <c r="H181" s="554"/>
      <c r="I181" s="554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556">
        <f>'Fiche N° 38'!C51</f>
        <v>0</v>
      </c>
      <c r="C182" s="556"/>
      <c r="D182" s="106" t="str">
        <f t="shared" si="2"/>
        <v>AA poste3</v>
      </c>
      <c r="E182" s="107" t="s">
        <v>192</v>
      </c>
      <c r="F182" s="108">
        <f t="shared" si="3"/>
        <v>38</v>
      </c>
      <c r="G182" s="554" t="str">
        <f>'Fiche N° 38'!E14</f>
        <v>Démantellement (récupération)</v>
      </c>
      <c r="H182" s="554"/>
      <c r="I182" s="554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556">
        <f>'Fiche N° 39'!C51</f>
        <v>0</v>
      </c>
      <c r="C183" s="556"/>
      <c r="D183" s="106" t="str">
        <f t="shared" si="2"/>
        <v>AA poste3</v>
      </c>
      <c r="E183" s="107" t="s">
        <v>192</v>
      </c>
      <c r="F183" s="108">
        <f t="shared" si="3"/>
        <v>39</v>
      </c>
      <c r="G183" s="554" t="str">
        <f>'Fiche N° 39'!E14</f>
        <v>Démantellement (récupération)</v>
      </c>
      <c r="H183" s="554"/>
      <c r="I183" s="554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556">
        <f>'Fiche N° 40'!C51</f>
        <v>0</v>
      </c>
      <c r="C184" s="556"/>
      <c r="D184" s="106" t="str">
        <f t="shared" si="2"/>
        <v>AA poste3</v>
      </c>
      <c r="E184" s="107" t="s">
        <v>192</v>
      </c>
      <c r="F184" s="108">
        <f t="shared" si="3"/>
        <v>40</v>
      </c>
      <c r="G184" s="554" t="str">
        <f>'Fiche N° 40'!E14</f>
        <v>Démantellement (récupération)</v>
      </c>
      <c r="H184" s="554"/>
      <c r="I184" s="554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556">
        <f>'Fiche N° 41'!C51</f>
        <v>0</v>
      </c>
      <c r="C185" s="556"/>
      <c r="D185" s="106" t="str">
        <f t="shared" si="2"/>
        <v>AA poste3</v>
      </c>
      <c r="E185" s="107" t="s">
        <v>192</v>
      </c>
      <c r="F185" s="108">
        <f t="shared" si="3"/>
        <v>41</v>
      </c>
      <c r="G185" s="554" t="str">
        <f>'Fiche N° 41'!E14</f>
        <v>Démantellement (récupération)</v>
      </c>
      <c r="H185" s="554"/>
      <c r="I185" s="554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556">
        <f>'Fiche N° 42'!C51</f>
        <v>0</v>
      </c>
      <c r="C186" s="556"/>
      <c r="D186" s="106" t="str">
        <f t="shared" si="2"/>
        <v>AA poste3</v>
      </c>
      <c r="E186" s="107" t="s">
        <v>192</v>
      </c>
      <c r="F186" s="108">
        <f t="shared" si="3"/>
        <v>42</v>
      </c>
      <c r="G186" s="554" t="str">
        <f>'Fiche N° 42'!E14</f>
        <v>Démantellement (récupération)</v>
      </c>
      <c r="H186" s="554"/>
      <c r="I186" s="554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556">
        <f>'Fiche N° 43'!C51</f>
        <v>0</v>
      </c>
      <c r="C187" s="556"/>
      <c r="D187" s="106" t="str">
        <f t="shared" si="2"/>
        <v>AA poste3</v>
      </c>
      <c r="E187" s="107" t="s">
        <v>192</v>
      </c>
      <c r="F187" s="108">
        <f t="shared" si="3"/>
        <v>43</v>
      </c>
      <c r="G187" s="554" t="str">
        <f>'Fiche N° 43'!E14</f>
        <v>Démantellement (récupération)</v>
      </c>
      <c r="H187" s="554"/>
      <c r="I187" s="554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556">
        <f>'Fiche N° 44'!C51</f>
        <v>0</v>
      </c>
      <c r="C188" s="556"/>
      <c r="D188" s="106" t="str">
        <f t="shared" si="2"/>
        <v>AA poste3</v>
      </c>
      <c r="E188" s="107" t="s">
        <v>192</v>
      </c>
      <c r="F188" s="108">
        <f t="shared" si="3"/>
        <v>44</v>
      </c>
      <c r="G188" s="554" t="str">
        <f>'Fiche N° 44'!E14</f>
        <v>Démantellement (récupération)</v>
      </c>
      <c r="H188" s="554"/>
      <c r="I188" s="554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556">
        <f>'Fiche N° 45'!C51</f>
        <v>0</v>
      </c>
      <c r="C189" s="556"/>
      <c r="D189" s="106" t="str">
        <f t="shared" si="2"/>
        <v>AA poste3</v>
      </c>
      <c r="E189" s="107" t="s">
        <v>192</v>
      </c>
      <c r="F189" s="108">
        <f t="shared" si="3"/>
        <v>45</v>
      </c>
      <c r="G189" s="554" t="str">
        <f>'Fiche N° 45'!E14</f>
        <v>Démantellement (récupération)</v>
      </c>
      <c r="H189" s="554"/>
      <c r="I189" s="554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556">
        <f>'Fiche N° 46'!C51</f>
        <v>0</v>
      </c>
      <c r="C190" s="556"/>
      <c r="D190" s="106" t="str">
        <f t="shared" si="2"/>
        <v>AA poste3</v>
      </c>
      <c r="E190" s="107" t="s">
        <v>192</v>
      </c>
      <c r="F190" s="108">
        <f t="shared" si="3"/>
        <v>46</v>
      </c>
      <c r="G190" s="554" t="str">
        <f>'Fiche N° 46'!E14</f>
        <v>Démantellement (récupération)</v>
      </c>
      <c r="H190" s="554"/>
      <c r="I190" s="554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556">
        <f>'Fiche N° 47'!C51</f>
        <v>0</v>
      </c>
      <c r="C191" s="556"/>
      <c r="D191" s="106" t="str">
        <f t="shared" si="2"/>
        <v>AA poste3</v>
      </c>
      <c r="E191" s="107" t="s">
        <v>192</v>
      </c>
      <c r="F191" s="108">
        <f t="shared" si="3"/>
        <v>47</v>
      </c>
      <c r="G191" s="554" t="str">
        <f>'Fiche N° 47'!E14</f>
        <v>Démantellement (récupération)</v>
      </c>
      <c r="H191" s="554"/>
      <c r="I191" s="554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556">
        <f>'Fiche N° 48'!C51</f>
        <v>0</v>
      </c>
      <c r="C192" s="556"/>
      <c r="D192" s="106" t="str">
        <f t="shared" si="2"/>
        <v>AA poste3</v>
      </c>
      <c r="E192" s="107" t="s">
        <v>192</v>
      </c>
      <c r="F192" s="108">
        <f t="shared" si="3"/>
        <v>48</v>
      </c>
      <c r="G192" s="554" t="str">
        <f>'Fiche N° 48'!E14</f>
        <v>Démantellement (récupération)</v>
      </c>
      <c r="H192" s="554"/>
      <c r="I192" s="554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556">
        <f>'Fiche N° 49'!C51</f>
        <v>0</v>
      </c>
      <c r="C193" s="556"/>
      <c r="D193" s="106" t="str">
        <f t="shared" si="2"/>
        <v>AA poste3</v>
      </c>
      <c r="E193" s="107" t="s">
        <v>192</v>
      </c>
      <c r="F193" s="108">
        <f t="shared" si="3"/>
        <v>49</v>
      </c>
      <c r="G193" s="554" t="str">
        <f>'Fiche N° 49'!E14</f>
        <v>Démantellement (récupération)</v>
      </c>
      <c r="H193" s="554"/>
      <c r="I193" s="554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556">
        <f>'Fiche N° 50'!C51</f>
        <v>0</v>
      </c>
      <c r="C194" s="556"/>
      <c r="D194" s="106" t="str">
        <f t="shared" si="2"/>
        <v>AA poste3</v>
      </c>
      <c r="E194" s="107" t="s">
        <v>192</v>
      </c>
      <c r="F194" s="108">
        <f t="shared" si="3"/>
        <v>50</v>
      </c>
      <c r="G194" s="554" t="str">
        <f>'Fiche N° 50'!E14</f>
        <v>Démantellement (récupération)</v>
      </c>
      <c r="H194" s="554"/>
      <c r="I194" s="554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12"/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</row>
    <row r="196" spans="1:13" ht="21.95" customHeight="1">
      <c r="A196" s="384" t="s">
        <v>193</v>
      </c>
      <c r="B196" s="384"/>
      <c r="C196" s="384"/>
      <c r="D196" s="384"/>
      <c r="E196" s="384"/>
      <c r="F196" s="384"/>
      <c r="G196" s="384"/>
      <c r="H196" s="384"/>
      <c r="I196" s="384"/>
      <c r="J196" s="384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85" t="s">
        <v>194</v>
      </c>
      <c r="B197" s="385"/>
      <c r="C197" s="385"/>
      <c r="D197" s="385"/>
      <c r="E197" s="385"/>
      <c r="F197" s="385"/>
      <c r="G197" s="385"/>
      <c r="H197" s="385"/>
      <c r="I197" s="386" t="s">
        <v>195</v>
      </c>
      <c r="J197" s="386"/>
      <c r="K197" s="113">
        <f>SUM(K169:K194)</f>
        <v>0</v>
      </c>
      <c r="L197" s="113">
        <f>SUM(L169:L194)</f>
        <v>0.57999999999999996</v>
      </c>
      <c r="M197" s="114">
        <f>SUM(M169:M194)</f>
        <v>0.52</v>
      </c>
    </row>
    <row r="198" spans="1:13" ht="21.95" customHeight="1" thickBot="1">
      <c r="A198" s="388" t="s">
        <v>196</v>
      </c>
      <c r="B198" s="388"/>
      <c r="C198" s="388"/>
      <c r="D198" s="388"/>
      <c r="E198" s="388"/>
      <c r="F198" s="388"/>
      <c r="G198" s="388"/>
      <c r="H198" s="388"/>
      <c r="I198" s="388"/>
      <c r="J198" s="388"/>
      <c r="K198" s="389">
        <f>K197+L197-M197</f>
        <v>5.9999999999999942E-2</v>
      </c>
      <c r="L198" s="389"/>
      <c r="M198" s="389"/>
    </row>
    <row r="199" spans="1:13" ht="20.25">
      <c r="A199" s="377" t="s">
        <v>185</v>
      </c>
      <c r="B199" s="377"/>
      <c r="C199" s="377"/>
      <c r="D199" s="377"/>
      <c r="E199" s="377"/>
      <c r="F199" s="377"/>
      <c r="G199" s="377"/>
      <c r="H199" s="377"/>
      <c r="I199" s="377"/>
      <c r="J199" s="377"/>
      <c r="K199" s="377"/>
      <c r="L199" s="377"/>
      <c r="M199" s="377"/>
    </row>
    <row r="200" spans="1:13" ht="12" customHeight="1">
      <c r="A200" s="378"/>
      <c r="B200" s="378"/>
      <c r="C200" s="378"/>
      <c r="D200" s="378"/>
      <c r="E200" s="378"/>
      <c r="F200" s="378"/>
      <c r="G200" s="378"/>
      <c r="H200" s="378"/>
      <c r="I200" s="378"/>
      <c r="J200" s="378"/>
      <c r="K200" s="378"/>
      <c r="L200" s="378"/>
      <c r="M200" s="378"/>
    </row>
    <row r="201" spans="1:13" ht="21.95" customHeight="1">
      <c r="A201" s="98" t="s">
        <v>186</v>
      </c>
      <c r="B201" s="379" t="s">
        <v>187</v>
      </c>
      <c r="C201" s="379"/>
      <c r="D201" s="379" t="s">
        <v>188</v>
      </c>
      <c r="E201" s="379"/>
      <c r="F201" s="379"/>
      <c r="G201" s="380" t="s">
        <v>189</v>
      </c>
      <c r="H201" s="380"/>
      <c r="I201" s="380"/>
      <c r="J201" s="381" t="s">
        <v>190</v>
      </c>
      <c r="K201" s="382" t="s">
        <v>97</v>
      </c>
      <c r="L201" s="382"/>
      <c r="M201" s="382"/>
    </row>
    <row r="202" spans="1:13" ht="21.95" customHeight="1">
      <c r="A202" s="99">
        <f>$H$15</f>
        <v>2010</v>
      </c>
      <c r="B202" s="379"/>
      <c r="C202" s="379"/>
      <c r="D202" s="379"/>
      <c r="E202" s="379"/>
      <c r="F202" s="379"/>
      <c r="G202" s="380"/>
      <c r="H202" s="380"/>
      <c r="I202" s="380"/>
      <c r="J202" s="381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87" t="s">
        <v>197</v>
      </c>
      <c r="B203" s="387"/>
      <c r="C203" s="387"/>
      <c r="D203" s="387"/>
      <c r="E203" s="387"/>
      <c r="F203" s="387"/>
      <c r="G203" s="387"/>
      <c r="H203" s="387"/>
      <c r="I203" s="387"/>
      <c r="J203" s="102"/>
      <c r="K203" s="103">
        <f>K197</f>
        <v>0</v>
      </c>
      <c r="L203" s="103">
        <f>L197</f>
        <v>0.57999999999999996</v>
      </c>
      <c r="M203" s="104">
        <f>M197</f>
        <v>0.52</v>
      </c>
    </row>
    <row r="204" spans="1:13" s="87" customFormat="1" ht="21.95" customHeight="1">
      <c r="A204" s="105" t="e">
        <f>#REF!</f>
        <v>#REF!</v>
      </c>
      <c r="B204" s="349" t="e">
        <f>#REF!</f>
        <v>#REF!</v>
      </c>
      <c r="C204" s="349"/>
      <c r="D204" s="106" t="str">
        <f t="shared" ref="D204:D228" si="4">$G$19</f>
        <v>AA poste3</v>
      </c>
      <c r="E204" s="107" t="s">
        <v>192</v>
      </c>
      <c r="F204" s="108">
        <f>SUM(F194,1)</f>
        <v>51</v>
      </c>
      <c r="G204" s="376" t="e">
        <f>#REF!</f>
        <v>#REF!</v>
      </c>
      <c r="H204" s="376"/>
      <c r="I204" s="376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49" t="e">
        <f>#REF!</f>
        <v>#REF!</v>
      </c>
      <c r="C205" s="349"/>
      <c r="D205" s="106" t="str">
        <f t="shared" si="4"/>
        <v>AA poste3</v>
      </c>
      <c r="E205" s="107" t="s">
        <v>192</v>
      </c>
      <c r="F205" s="108">
        <f t="shared" ref="F205:F228" si="5">SUM(F204,1)</f>
        <v>52</v>
      </c>
      <c r="G205" s="376" t="e">
        <f>#REF!</f>
        <v>#REF!</v>
      </c>
      <c r="H205" s="376"/>
      <c r="I205" s="376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49" t="e">
        <f>#REF!</f>
        <v>#REF!</v>
      </c>
      <c r="C206" s="349"/>
      <c r="D206" s="106" t="str">
        <f t="shared" si="4"/>
        <v>AA poste3</v>
      </c>
      <c r="E206" s="107" t="s">
        <v>192</v>
      </c>
      <c r="F206" s="108">
        <f t="shared" si="5"/>
        <v>53</v>
      </c>
      <c r="G206" s="376" t="e">
        <f>#REF!</f>
        <v>#REF!</v>
      </c>
      <c r="H206" s="376"/>
      <c r="I206" s="376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49" t="e">
        <f>#REF!</f>
        <v>#REF!</v>
      </c>
      <c r="C207" s="349"/>
      <c r="D207" s="106" t="str">
        <f t="shared" si="4"/>
        <v>AA poste3</v>
      </c>
      <c r="E207" s="107" t="s">
        <v>192</v>
      </c>
      <c r="F207" s="108">
        <f t="shared" si="5"/>
        <v>54</v>
      </c>
      <c r="G207" s="376" t="e">
        <f>#REF!</f>
        <v>#REF!</v>
      </c>
      <c r="H207" s="376"/>
      <c r="I207" s="376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49" t="e">
        <f>#REF!</f>
        <v>#REF!</v>
      </c>
      <c r="C208" s="349"/>
      <c r="D208" s="106" t="str">
        <f t="shared" si="4"/>
        <v>AA poste3</v>
      </c>
      <c r="E208" s="107" t="s">
        <v>192</v>
      </c>
      <c r="F208" s="108">
        <f t="shared" si="5"/>
        <v>55</v>
      </c>
      <c r="G208" s="376" t="e">
        <f>#REF!</f>
        <v>#REF!</v>
      </c>
      <c r="H208" s="376"/>
      <c r="I208" s="376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49" t="e">
        <f>#REF!</f>
        <v>#REF!</v>
      </c>
      <c r="C209" s="349"/>
      <c r="D209" s="106" t="str">
        <f t="shared" si="4"/>
        <v>AA poste3</v>
      </c>
      <c r="E209" s="107" t="s">
        <v>192</v>
      </c>
      <c r="F209" s="108">
        <f t="shared" si="5"/>
        <v>56</v>
      </c>
      <c r="G209" s="376" t="e">
        <f>#REF!</f>
        <v>#REF!</v>
      </c>
      <c r="H209" s="376"/>
      <c r="I209" s="376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49" t="e">
        <f>#REF!</f>
        <v>#REF!</v>
      </c>
      <c r="C210" s="349"/>
      <c r="D210" s="106" t="str">
        <f t="shared" si="4"/>
        <v>AA poste3</v>
      </c>
      <c r="E210" s="107" t="s">
        <v>192</v>
      </c>
      <c r="F210" s="108">
        <f t="shared" si="5"/>
        <v>57</v>
      </c>
      <c r="G210" s="376" t="e">
        <f>#REF!</f>
        <v>#REF!</v>
      </c>
      <c r="H210" s="376"/>
      <c r="I210" s="376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49" t="e">
        <f>#REF!</f>
        <v>#REF!</v>
      </c>
      <c r="C211" s="349"/>
      <c r="D211" s="106" t="str">
        <f t="shared" si="4"/>
        <v>AA poste3</v>
      </c>
      <c r="E211" s="107" t="s">
        <v>192</v>
      </c>
      <c r="F211" s="108">
        <f t="shared" si="5"/>
        <v>58</v>
      </c>
      <c r="G211" s="376" t="e">
        <f>#REF!</f>
        <v>#REF!</v>
      </c>
      <c r="H211" s="376"/>
      <c r="I211" s="376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49" t="e">
        <f>#REF!</f>
        <v>#REF!</v>
      </c>
      <c r="C212" s="349"/>
      <c r="D212" s="106" t="str">
        <f t="shared" si="4"/>
        <v>AA poste3</v>
      </c>
      <c r="E212" s="107" t="s">
        <v>192</v>
      </c>
      <c r="F212" s="108">
        <f t="shared" si="5"/>
        <v>59</v>
      </c>
      <c r="G212" s="376" t="e">
        <f>#REF!</f>
        <v>#REF!</v>
      </c>
      <c r="H212" s="376"/>
      <c r="I212" s="376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49" t="e">
        <f>#REF!</f>
        <v>#REF!</v>
      </c>
      <c r="C213" s="349"/>
      <c r="D213" s="106" t="str">
        <f t="shared" si="4"/>
        <v>AA poste3</v>
      </c>
      <c r="E213" s="107" t="s">
        <v>192</v>
      </c>
      <c r="F213" s="108">
        <f t="shared" si="5"/>
        <v>60</v>
      </c>
      <c r="G213" s="376" t="e">
        <f>#REF!</f>
        <v>#REF!</v>
      </c>
      <c r="H213" s="376"/>
      <c r="I213" s="376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49" t="e">
        <f>#REF!</f>
        <v>#REF!</v>
      </c>
      <c r="C214" s="349"/>
      <c r="D214" s="106" t="str">
        <f t="shared" si="4"/>
        <v>AA poste3</v>
      </c>
      <c r="E214" s="107" t="s">
        <v>192</v>
      </c>
      <c r="F214" s="108">
        <f t="shared" si="5"/>
        <v>61</v>
      </c>
      <c r="G214" s="376" t="e">
        <f>#REF!</f>
        <v>#REF!</v>
      </c>
      <c r="H214" s="376"/>
      <c r="I214" s="376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49" t="e">
        <f>#REF!</f>
        <v>#REF!</v>
      </c>
      <c r="C215" s="349"/>
      <c r="D215" s="106" t="str">
        <f t="shared" si="4"/>
        <v>AA poste3</v>
      </c>
      <c r="E215" s="107" t="s">
        <v>192</v>
      </c>
      <c r="F215" s="108">
        <f t="shared" si="5"/>
        <v>62</v>
      </c>
      <c r="G215" s="376" t="e">
        <f>#REF!</f>
        <v>#REF!</v>
      </c>
      <c r="H215" s="376"/>
      <c r="I215" s="376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49" t="e">
        <f>#REF!</f>
        <v>#REF!</v>
      </c>
      <c r="C216" s="349"/>
      <c r="D216" s="106" t="str">
        <f t="shared" si="4"/>
        <v>AA poste3</v>
      </c>
      <c r="E216" s="107" t="s">
        <v>192</v>
      </c>
      <c r="F216" s="108">
        <f t="shared" si="5"/>
        <v>63</v>
      </c>
      <c r="G216" s="376" t="e">
        <f>#REF!</f>
        <v>#REF!</v>
      </c>
      <c r="H216" s="376"/>
      <c r="I216" s="376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49" t="e">
        <f>#REF!</f>
        <v>#REF!</v>
      </c>
      <c r="C217" s="349"/>
      <c r="D217" s="106" t="str">
        <f t="shared" si="4"/>
        <v>AA poste3</v>
      </c>
      <c r="E217" s="107" t="s">
        <v>192</v>
      </c>
      <c r="F217" s="108">
        <f t="shared" si="5"/>
        <v>64</v>
      </c>
      <c r="G217" s="376" t="e">
        <f>#REF!</f>
        <v>#REF!</v>
      </c>
      <c r="H217" s="376"/>
      <c r="I217" s="376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49" t="e">
        <f>#REF!</f>
        <v>#REF!</v>
      </c>
      <c r="C218" s="349"/>
      <c r="D218" s="106" t="str">
        <f t="shared" si="4"/>
        <v>AA poste3</v>
      </c>
      <c r="E218" s="107" t="s">
        <v>192</v>
      </c>
      <c r="F218" s="108">
        <f t="shared" si="5"/>
        <v>65</v>
      </c>
      <c r="G218" s="376" t="e">
        <f>#REF!</f>
        <v>#REF!</v>
      </c>
      <c r="H218" s="376"/>
      <c r="I218" s="376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49" t="e">
        <f>#REF!</f>
        <v>#REF!</v>
      </c>
      <c r="C219" s="349"/>
      <c r="D219" s="106" t="str">
        <f t="shared" si="4"/>
        <v>AA poste3</v>
      </c>
      <c r="E219" s="107" t="s">
        <v>192</v>
      </c>
      <c r="F219" s="108">
        <f t="shared" si="5"/>
        <v>66</v>
      </c>
      <c r="G219" s="376" t="e">
        <f>#REF!</f>
        <v>#REF!</v>
      </c>
      <c r="H219" s="376"/>
      <c r="I219" s="376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49" t="e">
        <f>#REF!</f>
        <v>#REF!</v>
      </c>
      <c r="C220" s="349"/>
      <c r="D220" s="106" t="str">
        <f t="shared" si="4"/>
        <v>AA poste3</v>
      </c>
      <c r="E220" s="107" t="s">
        <v>192</v>
      </c>
      <c r="F220" s="108">
        <f t="shared" si="5"/>
        <v>67</v>
      </c>
      <c r="G220" s="376" t="e">
        <f>#REF!</f>
        <v>#REF!</v>
      </c>
      <c r="H220" s="376"/>
      <c r="I220" s="376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49" t="e">
        <f>#REF!</f>
        <v>#REF!</v>
      </c>
      <c r="C221" s="349"/>
      <c r="D221" s="106" t="str">
        <f t="shared" si="4"/>
        <v>AA poste3</v>
      </c>
      <c r="E221" s="107" t="s">
        <v>192</v>
      </c>
      <c r="F221" s="108">
        <f t="shared" si="5"/>
        <v>68</v>
      </c>
      <c r="G221" s="376" t="e">
        <f>#REF!</f>
        <v>#REF!</v>
      </c>
      <c r="H221" s="376"/>
      <c r="I221" s="376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49" t="e">
        <f>#REF!</f>
        <v>#REF!</v>
      </c>
      <c r="C222" s="349"/>
      <c r="D222" s="106" t="str">
        <f t="shared" si="4"/>
        <v>AA poste3</v>
      </c>
      <c r="E222" s="107" t="s">
        <v>192</v>
      </c>
      <c r="F222" s="108">
        <f t="shared" si="5"/>
        <v>69</v>
      </c>
      <c r="G222" s="376" t="e">
        <f>#REF!</f>
        <v>#REF!</v>
      </c>
      <c r="H222" s="376"/>
      <c r="I222" s="376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49" t="e">
        <f>#REF!</f>
        <v>#REF!</v>
      </c>
      <c r="C223" s="349"/>
      <c r="D223" s="106" t="str">
        <f t="shared" si="4"/>
        <v>AA poste3</v>
      </c>
      <c r="E223" s="107" t="s">
        <v>192</v>
      </c>
      <c r="F223" s="108">
        <f t="shared" si="5"/>
        <v>70</v>
      </c>
      <c r="G223" s="376" t="e">
        <f>#REF!</f>
        <v>#REF!</v>
      </c>
      <c r="H223" s="376"/>
      <c r="I223" s="376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49" t="e">
        <f>#REF!</f>
        <v>#REF!</v>
      </c>
      <c r="C224" s="349"/>
      <c r="D224" s="106" t="str">
        <f t="shared" si="4"/>
        <v>AA poste3</v>
      </c>
      <c r="E224" s="107" t="s">
        <v>192</v>
      </c>
      <c r="F224" s="108">
        <f t="shared" si="5"/>
        <v>71</v>
      </c>
      <c r="G224" s="376" t="e">
        <f>#REF!</f>
        <v>#REF!</v>
      </c>
      <c r="H224" s="376"/>
      <c r="I224" s="376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49" t="e">
        <f>#REF!</f>
        <v>#REF!</v>
      </c>
      <c r="C225" s="349"/>
      <c r="D225" s="106" t="str">
        <f t="shared" si="4"/>
        <v>AA poste3</v>
      </c>
      <c r="E225" s="107" t="s">
        <v>192</v>
      </c>
      <c r="F225" s="108">
        <f t="shared" si="5"/>
        <v>72</v>
      </c>
      <c r="G225" s="376" t="e">
        <f>#REF!</f>
        <v>#REF!</v>
      </c>
      <c r="H225" s="376"/>
      <c r="I225" s="376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49" t="e">
        <f>#REF!</f>
        <v>#REF!</v>
      </c>
      <c r="C226" s="349"/>
      <c r="D226" s="106" t="str">
        <f t="shared" si="4"/>
        <v>AA poste3</v>
      </c>
      <c r="E226" s="107" t="s">
        <v>192</v>
      </c>
      <c r="F226" s="108">
        <f t="shared" si="5"/>
        <v>73</v>
      </c>
      <c r="G226" s="376" t="e">
        <f>#REF!</f>
        <v>#REF!</v>
      </c>
      <c r="H226" s="376"/>
      <c r="I226" s="376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49" t="e">
        <f>#REF!</f>
        <v>#REF!</v>
      </c>
      <c r="C227" s="349"/>
      <c r="D227" s="106" t="str">
        <f t="shared" si="4"/>
        <v>AA poste3</v>
      </c>
      <c r="E227" s="107" t="s">
        <v>192</v>
      </c>
      <c r="F227" s="108">
        <f t="shared" si="5"/>
        <v>74</v>
      </c>
      <c r="G227" s="376" t="e">
        <f>#REF!</f>
        <v>#REF!</v>
      </c>
      <c r="H227" s="376"/>
      <c r="I227" s="376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49" t="e">
        <f>#REF!</f>
        <v>#REF!</v>
      </c>
      <c r="C228" s="349"/>
      <c r="D228" s="106" t="str">
        <f t="shared" si="4"/>
        <v>AA poste3</v>
      </c>
      <c r="E228" s="107" t="s">
        <v>192</v>
      </c>
      <c r="F228" s="108">
        <f t="shared" si="5"/>
        <v>75</v>
      </c>
      <c r="G228" s="376" t="e">
        <f>#REF!</f>
        <v>#REF!</v>
      </c>
      <c r="H228" s="376"/>
      <c r="I228" s="376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12"/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</row>
    <row r="230" spans="1:13" s="87" customFormat="1" ht="21.95" customHeight="1">
      <c r="A230" s="384" t="s">
        <v>193</v>
      </c>
      <c r="B230" s="384"/>
      <c r="C230" s="384"/>
      <c r="D230" s="384"/>
      <c r="E230" s="384"/>
      <c r="F230" s="384"/>
      <c r="G230" s="384"/>
      <c r="H230" s="384"/>
      <c r="I230" s="384"/>
      <c r="J230" s="384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85" t="s">
        <v>194</v>
      </c>
      <c r="B231" s="385"/>
      <c r="C231" s="385"/>
      <c r="D231" s="385"/>
      <c r="E231" s="385"/>
      <c r="F231" s="385"/>
      <c r="G231" s="385"/>
      <c r="H231" s="385"/>
      <c r="I231" s="386" t="s">
        <v>195</v>
      </c>
      <c r="J231" s="386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88" t="s">
        <v>196</v>
      </c>
      <c r="B232" s="388"/>
      <c r="C232" s="388"/>
      <c r="D232" s="388"/>
      <c r="E232" s="388"/>
      <c r="F232" s="388"/>
      <c r="G232" s="388"/>
      <c r="H232" s="388"/>
      <c r="I232" s="388"/>
      <c r="J232" s="388"/>
      <c r="K232" s="389" t="e">
        <f>K231+L231-M231</f>
        <v>#REF!</v>
      </c>
      <c r="L232" s="389"/>
      <c r="M232" s="389"/>
    </row>
    <row r="233" spans="1:13" s="87" customFormat="1" ht="21.95" customHeight="1">
      <c r="A233" s="285"/>
      <c r="B233" s="285"/>
      <c r="C233" s="285"/>
      <c r="D233" s="285"/>
      <c r="E233" s="285"/>
      <c r="F233" s="285"/>
      <c r="G233" s="285"/>
      <c r="H233" s="285"/>
      <c r="I233" s="285"/>
      <c r="J233" s="285"/>
      <c r="K233" s="285"/>
      <c r="L233" s="285"/>
      <c r="M233" s="285"/>
    </row>
    <row r="234" spans="1:13" ht="20.25">
      <c r="A234" s="377" t="s">
        <v>185</v>
      </c>
      <c r="B234" s="377"/>
      <c r="C234" s="377"/>
      <c r="D234" s="377"/>
      <c r="E234" s="377"/>
      <c r="F234" s="377"/>
      <c r="G234" s="377"/>
      <c r="H234" s="377"/>
      <c r="I234" s="377"/>
      <c r="J234" s="377"/>
      <c r="K234" s="377"/>
      <c r="L234" s="377"/>
      <c r="M234" s="377"/>
    </row>
    <row r="235" spans="1:13" ht="12" customHeight="1">
      <c r="A235" s="378"/>
      <c r="B235" s="378"/>
      <c r="C235" s="378"/>
      <c r="D235" s="378"/>
      <c r="E235" s="378"/>
      <c r="F235" s="378"/>
      <c r="G235" s="378"/>
      <c r="H235" s="378"/>
      <c r="I235" s="378"/>
      <c r="J235" s="378"/>
      <c r="K235" s="378"/>
      <c r="L235" s="378"/>
      <c r="M235" s="378"/>
    </row>
    <row r="236" spans="1:13" ht="21.95" customHeight="1">
      <c r="A236" s="98" t="s">
        <v>186</v>
      </c>
      <c r="B236" s="379" t="s">
        <v>187</v>
      </c>
      <c r="C236" s="379"/>
      <c r="D236" s="379" t="s">
        <v>188</v>
      </c>
      <c r="E236" s="379"/>
      <c r="F236" s="379"/>
      <c r="G236" s="380" t="s">
        <v>189</v>
      </c>
      <c r="H236" s="380"/>
      <c r="I236" s="380"/>
      <c r="J236" s="381" t="s">
        <v>190</v>
      </c>
      <c r="K236" s="382" t="s">
        <v>97</v>
      </c>
      <c r="L236" s="382"/>
      <c r="M236" s="382"/>
    </row>
    <row r="237" spans="1:13" ht="21.95" customHeight="1">
      <c r="A237" s="99">
        <f>$H$15</f>
        <v>2010</v>
      </c>
      <c r="B237" s="379"/>
      <c r="C237" s="379"/>
      <c r="D237" s="379"/>
      <c r="E237" s="379"/>
      <c r="F237" s="379"/>
      <c r="G237" s="380"/>
      <c r="H237" s="380"/>
      <c r="I237" s="380"/>
      <c r="J237" s="381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87" t="s">
        <v>197</v>
      </c>
      <c r="B238" s="387"/>
      <c r="C238" s="387"/>
      <c r="D238" s="387"/>
      <c r="E238" s="387"/>
      <c r="F238" s="387"/>
      <c r="G238" s="387"/>
      <c r="H238" s="387"/>
      <c r="I238" s="387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49" t="e">
        <f>#REF!</f>
        <v>#REF!</v>
      </c>
      <c r="C239" s="349"/>
      <c r="D239" s="106" t="str">
        <f t="shared" ref="D239:D263" si="6">$G$19</f>
        <v>AA poste3</v>
      </c>
      <c r="E239" s="107" t="s">
        <v>192</v>
      </c>
      <c r="F239" s="108">
        <f>SUM(F228,1)</f>
        <v>76</v>
      </c>
      <c r="G239" s="376" t="e">
        <f>#REF!</f>
        <v>#REF!</v>
      </c>
      <c r="H239" s="376"/>
      <c r="I239" s="376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49" t="e">
        <f>#REF!</f>
        <v>#REF!</v>
      </c>
      <c r="C240" s="349"/>
      <c r="D240" s="106" t="str">
        <f t="shared" si="6"/>
        <v>AA poste3</v>
      </c>
      <c r="E240" s="107" t="s">
        <v>192</v>
      </c>
      <c r="F240" s="108">
        <f t="shared" ref="F240:F263" si="7">SUM(F239,1)</f>
        <v>77</v>
      </c>
      <c r="G240" s="376" t="e">
        <f>#REF!</f>
        <v>#REF!</v>
      </c>
      <c r="H240" s="376"/>
      <c r="I240" s="376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49" t="e">
        <f>#REF!</f>
        <v>#REF!</v>
      </c>
      <c r="C241" s="349"/>
      <c r="D241" s="106" t="str">
        <f t="shared" si="6"/>
        <v>AA poste3</v>
      </c>
      <c r="E241" s="107" t="s">
        <v>192</v>
      </c>
      <c r="F241" s="108">
        <f t="shared" si="7"/>
        <v>78</v>
      </c>
      <c r="G241" s="376" t="e">
        <f>#REF!</f>
        <v>#REF!</v>
      </c>
      <c r="H241" s="376"/>
      <c r="I241" s="376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49" t="e">
        <f>#REF!</f>
        <v>#REF!</v>
      </c>
      <c r="C242" s="349"/>
      <c r="D242" s="106" t="str">
        <f t="shared" si="6"/>
        <v>AA poste3</v>
      </c>
      <c r="E242" s="107" t="s">
        <v>192</v>
      </c>
      <c r="F242" s="108">
        <f t="shared" si="7"/>
        <v>79</v>
      </c>
      <c r="G242" s="376" t="e">
        <f>#REF!</f>
        <v>#REF!</v>
      </c>
      <c r="H242" s="376"/>
      <c r="I242" s="376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49" t="e">
        <f>#REF!</f>
        <v>#REF!</v>
      </c>
      <c r="C243" s="349"/>
      <c r="D243" s="106" t="str">
        <f t="shared" si="6"/>
        <v>AA poste3</v>
      </c>
      <c r="E243" s="107" t="s">
        <v>192</v>
      </c>
      <c r="F243" s="108">
        <f t="shared" si="7"/>
        <v>80</v>
      </c>
      <c r="G243" s="376" t="e">
        <f>#REF!</f>
        <v>#REF!</v>
      </c>
      <c r="H243" s="376"/>
      <c r="I243" s="376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49" t="e">
        <f>#REF!</f>
        <v>#REF!</v>
      </c>
      <c r="C244" s="349"/>
      <c r="D244" s="106" t="str">
        <f t="shared" si="6"/>
        <v>AA poste3</v>
      </c>
      <c r="E244" s="107" t="s">
        <v>192</v>
      </c>
      <c r="F244" s="108">
        <f t="shared" si="7"/>
        <v>81</v>
      </c>
      <c r="G244" s="376" t="e">
        <f>#REF!</f>
        <v>#REF!</v>
      </c>
      <c r="H244" s="376"/>
      <c r="I244" s="376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49" t="e">
        <f>#REF!</f>
        <v>#REF!</v>
      </c>
      <c r="C245" s="349"/>
      <c r="D245" s="106" t="str">
        <f t="shared" si="6"/>
        <v>AA poste3</v>
      </c>
      <c r="E245" s="107" t="s">
        <v>192</v>
      </c>
      <c r="F245" s="108">
        <f t="shared" si="7"/>
        <v>82</v>
      </c>
      <c r="G245" s="376" t="e">
        <f>#REF!</f>
        <v>#REF!</v>
      </c>
      <c r="H245" s="376"/>
      <c r="I245" s="376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49" t="e">
        <f>#REF!</f>
        <v>#REF!</v>
      </c>
      <c r="C246" s="349"/>
      <c r="D246" s="106" t="str">
        <f t="shared" si="6"/>
        <v>AA poste3</v>
      </c>
      <c r="E246" s="107" t="s">
        <v>192</v>
      </c>
      <c r="F246" s="108">
        <f t="shared" si="7"/>
        <v>83</v>
      </c>
      <c r="G246" s="376" t="e">
        <f>#REF!</f>
        <v>#REF!</v>
      </c>
      <c r="H246" s="376"/>
      <c r="I246" s="376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49" t="e">
        <f>#REF!</f>
        <v>#REF!</v>
      </c>
      <c r="C247" s="349"/>
      <c r="D247" s="106" t="str">
        <f t="shared" si="6"/>
        <v>AA poste3</v>
      </c>
      <c r="E247" s="107" t="s">
        <v>192</v>
      </c>
      <c r="F247" s="108">
        <f t="shared" si="7"/>
        <v>84</v>
      </c>
      <c r="G247" s="376" t="e">
        <f>#REF!</f>
        <v>#REF!</v>
      </c>
      <c r="H247" s="376"/>
      <c r="I247" s="376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49" t="e">
        <f>#REF!</f>
        <v>#REF!</v>
      </c>
      <c r="C248" s="349"/>
      <c r="D248" s="106" t="str">
        <f t="shared" si="6"/>
        <v>AA poste3</v>
      </c>
      <c r="E248" s="107" t="s">
        <v>192</v>
      </c>
      <c r="F248" s="108">
        <f t="shared" si="7"/>
        <v>85</v>
      </c>
      <c r="G248" s="376" t="e">
        <f>#REF!</f>
        <v>#REF!</v>
      </c>
      <c r="H248" s="376"/>
      <c r="I248" s="376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49" t="e">
        <f>#REF!</f>
        <v>#REF!</v>
      </c>
      <c r="C249" s="349"/>
      <c r="D249" s="106" t="str">
        <f t="shared" si="6"/>
        <v>AA poste3</v>
      </c>
      <c r="E249" s="107" t="s">
        <v>192</v>
      </c>
      <c r="F249" s="108">
        <f t="shared" si="7"/>
        <v>86</v>
      </c>
      <c r="G249" s="376" t="e">
        <f>#REF!</f>
        <v>#REF!</v>
      </c>
      <c r="H249" s="376"/>
      <c r="I249" s="376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49" t="e">
        <f>#REF!</f>
        <v>#REF!</v>
      </c>
      <c r="C250" s="349"/>
      <c r="D250" s="106" t="str">
        <f t="shared" si="6"/>
        <v>AA poste3</v>
      </c>
      <c r="E250" s="107" t="s">
        <v>192</v>
      </c>
      <c r="F250" s="108">
        <f t="shared" si="7"/>
        <v>87</v>
      </c>
      <c r="G250" s="376" t="e">
        <f>#REF!</f>
        <v>#REF!</v>
      </c>
      <c r="H250" s="376"/>
      <c r="I250" s="376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49" t="e">
        <f>#REF!</f>
        <v>#REF!</v>
      </c>
      <c r="C251" s="349"/>
      <c r="D251" s="106" t="str">
        <f t="shared" si="6"/>
        <v>AA poste3</v>
      </c>
      <c r="E251" s="107" t="s">
        <v>192</v>
      </c>
      <c r="F251" s="108">
        <f t="shared" si="7"/>
        <v>88</v>
      </c>
      <c r="G251" s="376" t="e">
        <f>#REF!</f>
        <v>#REF!</v>
      </c>
      <c r="H251" s="376"/>
      <c r="I251" s="376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49" t="e">
        <f>#REF!</f>
        <v>#REF!</v>
      </c>
      <c r="C252" s="349"/>
      <c r="D252" s="106" t="str">
        <f t="shared" si="6"/>
        <v>AA poste3</v>
      </c>
      <c r="E252" s="107" t="s">
        <v>192</v>
      </c>
      <c r="F252" s="108">
        <f t="shared" si="7"/>
        <v>89</v>
      </c>
      <c r="G252" s="376" t="e">
        <f>#REF!</f>
        <v>#REF!</v>
      </c>
      <c r="H252" s="376"/>
      <c r="I252" s="376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49" t="e">
        <f>#REF!</f>
        <v>#REF!</v>
      </c>
      <c r="C253" s="349"/>
      <c r="D253" s="106" t="str">
        <f t="shared" si="6"/>
        <v>AA poste3</v>
      </c>
      <c r="E253" s="107" t="s">
        <v>192</v>
      </c>
      <c r="F253" s="108">
        <f t="shared" si="7"/>
        <v>90</v>
      </c>
      <c r="G253" s="376" t="e">
        <f>#REF!</f>
        <v>#REF!</v>
      </c>
      <c r="H253" s="376"/>
      <c r="I253" s="376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49" t="e">
        <f>#REF!</f>
        <v>#REF!</v>
      </c>
      <c r="C254" s="349"/>
      <c r="D254" s="106" t="str">
        <f t="shared" si="6"/>
        <v>AA poste3</v>
      </c>
      <c r="E254" s="107" t="s">
        <v>192</v>
      </c>
      <c r="F254" s="108">
        <f t="shared" si="7"/>
        <v>91</v>
      </c>
      <c r="G254" s="376" t="e">
        <f>#REF!</f>
        <v>#REF!</v>
      </c>
      <c r="H254" s="376"/>
      <c r="I254" s="376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49" t="e">
        <f>#REF!</f>
        <v>#REF!</v>
      </c>
      <c r="C255" s="349"/>
      <c r="D255" s="106" t="str">
        <f t="shared" si="6"/>
        <v>AA poste3</v>
      </c>
      <c r="E255" s="107" t="s">
        <v>192</v>
      </c>
      <c r="F255" s="108">
        <f t="shared" si="7"/>
        <v>92</v>
      </c>
      <c r="G255" s="376" t="e">
        <f>#REF!</f>
        <v>#REF!</v>
      </c>
      <c r="H255" s="376"/>
      <c r="I255" s="376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49" t="e">
        <f>#REF!</f>
        <v>#REF!</v>
      </c>
      <c r="C256" s="349"/>
      <c r="D256" s="106" t="str">
        <f t="shared" si="6"/>
        <v>AA poste3</v>
      </c>
      <c r="E256" s="107" t="s">
        <v>192</v>
      </c>
      <c r="F256" s="108">
        <f t="shared" si="7"/>
        <v>93</v>
      </c>
      <c r="G256" s="376" t="e">
        <f>#REF!</f>
        <v>#REF!</v>
      </c>
      <c r="H256" s="376"/>
      <c r="I256" s="376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49" t="e">
        <f>#REF!</f>
        <v>#REF!</v>
      </c>
      <c r="C257" s="349"/>
      <c r="D257" s="106" t="str">
        <f t="shared" si="6"/>
        <v>AA poste3</v>
      </c>
      <c r="E257" s="107" t="s">
        <v>192</v>
      </c>
      <c r="F257" s="108">
        <f t="shared" si="7"/>
        <v>94</v>
      </c>
      <c r="G257" s="376" t="e">
        <f>#REF!</f>
        <v>#REF!</v>
      </c>
      <c r="H257" s="376"/>
      <c r="I257" s="376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49" t="e">
        <f>#REF!</f>
        <v>#REF!</v>
      </c>
      <c r="C258" s="349"/>
      <c r="D258" s="106" t="str">
        <f t="shared" si="6"/>
        <v>AA poste3</v>
      </c>
      <c r="E258" s="107" t="s">
        <v>192</v>
      </c>
      <c r="F258" s="108">
        <f t="shared" si="7"/>
        <v>95</v>
      </c>
      <c r="G258" s="376" t="e">
        <f>#REF!</f>
        <v>#REF!</v>
      </c>
      <c r="H258" s="376"/>
      <c r="I258" s="376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49" t="e">
        <f>#REF!</f>
        <v>#REF!</v>
      </c>
      <c r="C259" s="349"/>
      <c r="D259" s="106" t="str">
        <f t="shared" si="6"/>
        <v>AA poste3</v>
      </c>
      <c r="E259" s="107" t="s">
        <v>192</v>
      </c>
      <c r="F259" s="108">
        <f t="shared" si="7"/>
        <v>96</v>
      </c>
      <c r="G259" s="376" t="e">
        <f>#REF!</f>
        <v>#REF!</v>
      </c>
      <c r="H259" s="376"/>
      <c r="I259" s="376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49" t="e">
        <f>#REF!</f>
        <v>#REF!</v>
      </c>
      <c r="C260" s="349"/>
      <c r="D260" s="106" t="str">
        <f t="shared" si="6"/>
        <v>AA poste3</v>
      </c>
      <c r="E260" s="107" t="s">
        <v>192</v>
      </c>
      <c r="F260" s="108">
        <f t="shared" si="7"/>
        <v>97</v>
      </c>
      <c r="G260" s="376" t="e">
        <f>#REF!</f>
        <v>#REF!</v>
      </c>
      <c r="H260" s="376"/>
      <c r="I260" s="376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49" t="e">
        <f>#REF!</f>
        <v>#REF!</v>
      </c>
      <c r="C261" s="349"/>
      <c r="D261" s="106" t="str">
        <f t="shared" si="6"/>
        <v>AA poste3</v>
      </c>
      <c r="E261" s="107" t="s">
        <v>192</v>
      </c>
      <c r="F261" s="108">
        <f t="shared" si="7"/>
        <v>98</v>
      </c>
      <c r="G261" s="376" t="e">
        <f>#REF!</f>
        <v>#REF!</v>
      </c>
      <c r="H261" s="376"/>
      <c r="I261" s="376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49" t="e">
        <f>#REF!</f>
        <v>#REF!</v>
      </c>
      <c r="C262" s="349"/>
      <c r="D262" s="106" t="str">
        <f t="shared" si="6"/>
        <v>AA poste3</v>
      </c>
      <c r="E262" s="107" t="s">
        <v>192</v>
      </c>
      <c r="F262" s="108">
        <f t="shared" si="7"/>
        <v>99</v>
      </c>
      <c r="G262" s="376" t="e">
        <f>#REF!</f>
        <v>#REF!</v>
      </c>
      <c r="H262" s="376"/>
      <c r="I262" s="376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49" t="e">
        <f>#REF!</f>
        <v>#REF!</v>
      </c>
      <c r="C263" s="349"/>
      <c r="D263" s="106" t="str">
        <f t="shared" si="6"/>
        <v>AA poste3</v>
      </c>
      <c r="E263" s="107" t="s">
        <v>192</v>
      </c>
      <c r="F263" s="108">
        <f t="shared" si="7"/>
        <v>100</v>
      </c>
      <c r="G263" s="376" t="e">
        <f>#REF!</f>
        <v>#REF!</v>
      </c>
      <c r="H263" s="376"/>
      <c r="I263" s="376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12"/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</row>
    <row r="265" spans="1:13" ht="21.95" customHeight="1">
      <c r="A265" s="384" t="s">
        <v>193</v>
      </c>
      <c r="B265" s="384"/>
      <c r="C265" s="384"/>
      <c r="D265" s="384"/>
      <c r="E265" s="384"/>
      <c r="F265" s="384"/>
      <c r="G265" s="384"/>
      <c r="H265" s="384"/>
      <c r="I265" s="384"/>
      <c r="J265" s="384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85" t="s">
        <v>194</v>
      </c>
      <c r="B266" s="385"/>
      <c r="C266" s="385"/>
      <c r="D266" s="385"/>
      <c r="E266" s="385"/>
      <c r="F266" s="385"/>
      <c r="G266" s="385"/>
      <c r="H266" s="385"/>
      <c r="I266" s="386" t="s">
        <v>195</v>
      </c>
      <c r="J266" s="386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88" t="s">
        <v>196</v>
      </c>
      <c r="B267" s="388"/>
      <c r="C267" s="388"/>
      <c r="D267" s="388"/>
      <c r="E267" s="388"/>
      <c r="F267" s="388"/>
      <c r="G267" s="388"/>
      <c r="H267" s="388"/>
      <c r="I267" s="388"/>
      <c r="J267" s="388"/>
      <c r="K267" s="389" t="e">
        <f>K266+L266-M266</f>
        <v>#REF!</v>
      </c>
      <c r="L267" s="389"/>
      <c r="M267" s="389"/>
    </row>
    <row r="268" spans="1:13" ht="20.25">
      <c r="A268" s="377" t="s">
        <v>185</v>
      </c>
      <c r="B268" s="377"/>
      <c r="C268" s="377"/>
      <c r="D268" s="377"/>
      <c r="E268" s="377"/>
      <c r="F268" s="377"/>
      <c r="G268" s="377"/>
      <c r="H268" s="377"/>
      <c r="I268" s="377"/>
      <c r="J268" s="377"/>
      <c r="K268" s="377"/>
      <c r="L268" s="377"/>
      <c r="M268" s="377"/>
    </row>
    <row r="269" spans="1:13" ht="12" customHeight="1">
      <c r="A269" s="378"/>
      <c r="B269" s="378"/>
      <c r="C269" s="378"/>
      <c r="D269" s="378"/>
      <c r="E269" s="378"/>
      <c r="F269" s="378"/>
      <c r="G269" s="378"/>
      <c r="H269" s="378"/>
      <c r="I269" s="378"/>
      <c r="J269" s="378"/>
      <c r="K269" s="378"/>
      <c r="L269" s="378"/>
      <c r="M269" s="378"/>
    </row>
    <row r="270" spans="1:13" ht="21.95" customHeight="1">
      <c r="A270" s="98" t="s">
        <v>186</v>
      </c>
      <c r="B270" s="379" t="s">
        <v>187</v>
      </c>
      <c r="C270" s="379"/>
      <c r="D270" s="379" t="s">
        <v>188</v>
      </c>
      <c r="E270" s="379"/>
      <c r="F270" s="379"/>
      <c r="G270" s="380" t="s">
        <v>189</v>
      </c>
      <c r="H270" s="380"/>
      <c r="I270" s="380"/>
      <c r="J270" s="381" t="s">
        <v>190</v>
      </c>
      <c r="K270" s="382" t="s">
        <v>97</v>
      </c>
      <c r="L270" s="382"/>
      <c r="M270" s="382"/>
    </row>
    <row r="271" spans="1:13" ht="21.95" customHeight="1">
      <c r="A271" s="99">
        <f>$H$15</f>
        <v>2010</v>
      </c>
      <c r="B271" s="379"/>
      <c r="C271" s="379"/>
      <c r="D271" s="379"/>
      <c r="E271" s="379"/>
      <c r="F271" s="379"/>
      <c r="G271" s="380"/>
      <c r="H271" s="380"/>
      <c r="I271" s="380"/>
      <c r="J271" s="381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87" t="s">
        <v>197</v>
      </c>
      <c r="B272" s="387"/>
      <c r="C272" s="387"/>
      <c r="D272" s="387"/>
      <c r="E272" s="387"/>
      <c r="F272" s="387"/>
      <c r="G272" s="387"/>
      <c r="H272" s="387"/>
      <c r="I272" s="387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49" t="e">
        <f>#REF!</f>
        <v>#REF!</v>
      </c>
      <c r="C273" s="349"/>
      <c r="D273" s="106" t="str">
        <f t="shared" ref="D273:D297" si="8">$G$19</f>
        <v>AA poste3</v>
      </c>
      <c r="E273" s="107" t="s">
        <v>192</v>
      </c>
      <c r="F273" s="108">
        <f>SUM(F263,1)</f>
        <v>101</v>
      </c>
      <c r="G273" s="376" t="e">
        <f>#REF!</f>
        <v>#REF!</v>
      </c>
      <c r="H273" s="376"/>
      <c r="I273" s="376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49" t="e">
        <f>#REF!</f>
        <v>#REF!</v>
      </c>
      <c r="C274" s="349"/>
      <c r="D274" s="106" t="str">
        <f t="shared" si="8"/>
        <v>AA poste3</v>
      </c>
      <c r="E274" s="107" t="s">
        <v>192</v>
      </c>
      <c r="F274" s="108">
        <f t="shared" ref="F274:F297" si="9">SUM(F273,1)</f>
        <v>102</v>
      </c>
      <c r="G274" s="376" t="e">
        <f>#REF!</f>
        <v>#REF!</v>
      </c>
      <c r="H274" s="376"/>
      <c r="I274" s="376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49" t="e">
        <f>#REF!</f>
        <v>#REF!</v>
      </c>
      <c r="C275" s="349"/>
      <c r="D275" s="106" t="str">
        <f t="shared" si="8"/>
        <v>AA poste3</v>
      </c>
      <c r="E275" s="107" t="s">
        <v>192</v>
      </c>
      <c r="F275" s="108">
        <f t="shared" si="9"/>
        <v>103</v>
      </c>
      <c r="G275" s="376" t="e">
        <f>#REF!</f>
        <v>#REF!</v>
      </c>
      <c r="H275" s="376"/>
      <c r="I275" s="376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49" t="e">
        <f>#REF!</f>
        <v>#REF!</v>
      </c>
      <c r="C276" s="349"/>
      <c r="D276" s="106" t="str">
        <f t="shared" si="8"/>
        <v>AA poste3</v>
      </c>
      <c r="E276" s="107" t="s">
        <v>192</v>
      </c>
      <c r="F276" s="108">
        <f t="shared" si="9"/>
        <v>104</v>
      </c>
      <c r="G276" s="376" t="e">
        <f>#REF!</f>
        <v>#REF!</v>
      </c>
      <c r="H276" s="376"/>
      <c r="I276" s="376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49" t="e">
        <f>#REF!</f>
        <v>#REF!</v>
      </c>
      <c r="C277" s="349"/>
      <c r="D277" s="106" t="str">
        <f t="shared" si="8"/>
        <v>AA poste3</v>
      </c>
      <c r="E277" s="107" t="s">
        <v>192</v>
      </c>
      <c r="F277" s="108">
        <f t="shared" si="9"/>
        <v>105</v>
      </c>
      <c r="G277" s="376" t="e">
        <f>#REF!</f>
        <v>#REF!</v>
      </c>
      <c r="H277" s="376"/>
      <c r="I277" s="376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49" t="e">
        <f>#REF!</f>
        <v>#REF!</v>
      </c>
      <c r="C278" s="349"/>
      <c r="D278" s="106" t="str">
        <f t="shared" si="8"/>
        <v>AA poste3</v>
      </c>
      <c r="E278" s="107" t="s">
        <v>192</v>
      </c>
      <c r="F278" s="108">
        <f t="shared" si="9"/>
        <v>106</v>
      </c>
      <c r="G278" s="376" t="e">
        <f>#REF!</f>
        <v>#REF!</v>
      </c>
      <c r="H278" s="376"/>
      <c r="I278" s="376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49" t="e">
        <f>#REF!</f>
        <v>#REF!</v>
      </c>
      <c r="C279" s="349"/>
      <c r="D279" s="106" t="str">
        <f t="shared" si="8"/>
        <v>AA poste3</v>
      </c>
      <c r="E279" s="107" t="s">
        <v>192</v>
      </c>
      <c r="F279" s="108">
        <f t="shared" si="9"/>
        <v>107</v>
      </c>
      <c r="G279" s="376" t="e">
        <f>#REF!</f>
        <v>#REF!</v>
      </c>
      <c r="H279" s="376"/>
      <c r="I279" s="376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49" t="e">
        <f>#REF!</f>
        <v>#REF!</v>
      </c>
      <c r="C280" s="349"/>
      <c r="D280" s="106" t="str">
        <f t="shared" si="8"/>
        <v>AA poste3</v>
      </c>
      <c r="E280" s="107" t="s">
        <v>192</v>
      </c>
      <c r="F280" s="108">
        <f t="shared" si="9"/>
        <v>108</v>
      </c>
      <c r="G280" s="376" t="e">
        <f>#REF!</f>
        <v>#REF!</v>
      </c>
      <c r="H280" s="376"/>
      <c r="I280" s="376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49" t="e">
        <f>#REF!</f>
        <v>#REF!</v>
      </c>
      <c r="C281" s="349"/>
      <c r="D281" s="106" t="str">
        <f t="shared" si="8"/>
        <v>AA poste3</v>
      </c>
      <c r="E281" s="107" t="s">
        <v>192</v>
      </c>
      <c r="F281" s="108">
        <f t="shared" si="9"/>
        <v>109</v>
      </c>
      <c r="G281" s="376" t="e">
        <f>#REF!</f>
        <v>#REF!</v>
      </c>
      <c r="H281" s="376"/>
      <c r="I281" s="376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49" t="e">
        <f>#REF!</f>
        <v>#REF!</v>
      </c>
      <c r="C282" s="349"/>
      <c r="D282" s="106" t="str">
        <f t="shared" si="8"/>
        <v>AA poste3</v>
      </c>
      <c r="E282" s="107" t="s">
        <v>192</v>
      </c>
      <c r="F282" s="108">
        <f t="shared" si="9"/>
        <v>110</v>
      </c>
      <c r="G282" s="376" t="e">
        <f>#REF!</f>
        <v>#REF!</v>
      </c>
      <c r="H282" s="376"/>
      <c r="I282" s="376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49" t="e">
        <f>#REF!</f>
        <v>#REF!</v>
      </c>
      <c r="C283" s="349"/>
      <c r="D283" s="106" t="str">
        <f t="shared" si="8"/>
        <v>AA poste3</v>
      </c>
      <c r="E283" s="107" t="s">
        <v>192</v>
      </c>
      <c r="F283" s="108">
        <f t="shared" si="9"/>
        <v>111</v>
      </c>
      <c r="G283" s="376" t="e">
        <f>#REF!</f>
        <v>#REF!</v>
      </c>
      <c r="H283" s="376"/>
      <c r="I283" s="376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49" t="e">
        <f>#REF!</f>
        <v>#REF!</v>
      </c>
      <c r="C284" s="349"/>
      <c r="D284" s="106" t="str">
        <f t="shared" si="8"/>
        <v>AA poste3</v>
      </c>
      <c r="E284" s="107" t="s">
        <v>192</v>
      </c>
      <c r="F284" s="108">
        <f t="shared" si="9"/>
        <v>112</v>
      </c>
      <c r="G284" s="376" t="e">
        <f>#REF!</f>
        <v>#REF!</v>
      </c>
      <c r="H284" s="376"/>
      <c r="I284" s="376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49" t="e">
        <f>#REF!</f>
        <v>#REF!</v>
      </c>
      <c r="C285" s="349"/>
      <c r="D285" s="106" t="str">
        <f t="shared" si="8"/>
        <v>AA poste3</v>
      </c>
      <c r="E285" s="107" t="s">
        <v>192</v>
      </c>
      <c r="F285" s="108">
        <f t="shared" si="9"/>
        <v>113</v>
      </c>
      <c r="G285" s="376" t="e">
        <f>#REF!</f>
        <v>#REF!</v>
      </c>
      <c r="H285" s="376"/>
      <c r="I285" s="376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49" t="e">
        <f>#REF!</f>
        <v>#REF!</v>
      </c>
      <c r="C286" s="349"/>
      <c r="D286" s="106" t="str">
        <f t="shared" si="8"/>
        <v>AA poste3</v>
      </c>
      <c r="E286" s="107" t="s">
        <v>192</v>
      </c>
      <c r="F286" s="108">
        <f t="shared" si="9"/>
        <v>114</v>
      </c>
      <c r="G286" s="376" t="e">
        <f>#REF!</f>
        <v>#REF!</v>
      </c>
      <c r="H286" s="376"/>
      <c r="I286" s="376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49" t="e">
        <f>#REF!</f>
        <v>#REF!</v>
      </c>
      <c r="C287" s="349"/>
      <c r="D287" s="106" t="str">
        <f t="shared" si="8"/>
        <v>AA poste3</v>
      </c>
      <c r="E287" s="107" t="s">
        <v>192</v>
      </c>
      <c r="F287" s="108">
        <f t="shared" si="9"/>
        <v>115</v>
      </c>
      <c r="G287" s="376" t="e">
        <f>#REF!</f>
        <v>#REF!</v>
      </c>
      <c r="H287" s="376"/>
      <c r="I287" s="376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49" t="e">
        <f>#REF!</f>
        <v>#REF!</v>
      </c>
      <c r="C288" s="349"/>
      <c r="D288" s="106" t="str">
        <f t="shared" si="8"/>
        <v>AA poste3</v>
      </c>
      <c r="E288" s="107" t="s">
        <v>192</v>
      </c>
      <c r="F288" s="108">
        <f t="shared" si="9"/>
        <v>116</v>
      </c>
      <c r="G288" s="376" t="e">
        <f>#REF!</f>
        <v>#REF!</v>
      </c>
      <c r="H288" s="376"/>
      <c r="I288" s="376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49" t="e">
        <f>#REF!</f>
        <v>#REF!</v>
      </c>
      <c r="C289" s="349"/>
      <c r="D289" s="106" t="str">
        <f t="shared" si="8"/>
        <v>AA poste3</v>
      </c>
      <c r="E289" s="107" t="s">
        <v>192</v>
      </c>
      <c r="F289" s="108">
        <f t="shared" si="9"/>
        <v>117</v>
      </c>
      <c r="G289" s="376" t="e">
        <f>#REF!</f>
        <v>#REF!</v>
      </c>
      <c r="H289" s="376"/>
      <c r="I289" s="376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49" t="e">
        <f>#REF!</f>
        <v>#REF!</v>
      </c>
      <c r="C290" s="349"/>
      <c r="D290" s="106" t="str">
        <f t="shared" si="8"/>
        <v>AA poste3</v>
      </c>
      <c r="E290" s="107" t="s">
        <v>192</v>
      </c>
      <c r="F290" s="108">
        <f t="shared" si="9"/>
        <v>118</v>
      </c>
      <c r="G290" s="376" t="e">
        <f>#REF!</f>
        <v>#REF!</v>
      </c>
      <c r="H290" s="376"/>
      <c r="I290" s="376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49" t="e">
        <f>#REF!</f>
        <v>#REF!</v>
      </c>
      <c r="C291" s="349"/>
      <c r="D291" s="106" t="str">
        <f t="shared" si="8"/>
        <v>AA poste3</v>
      </c>
      <c r="E291" s="107" t="s">
        <v>192</v>
      </c>
      <c r="F291" s="108">
        <f t="shared" si="9"/>
        <v>119</v>
      </c>
      <c r="G291" s="376" t="e">
        <f>#REF!</f>
        <v>#REF!</v>
      </c>
      <c r="H291" s="376"/>
      <c r="I291" s="376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49" t="e">
        <f>#REF!</f>
        <v>#REF!</v>
      </c>
      <c r="C292" s="349"/>
      <c r="D292" s="106" t="str">
        <f t="shared" si="8"/>
        <v>AA poste3</v>
      </c>
      <c r="E292" s="107" t="s">
        <v>192</v>
      </c>
      <c r="F292" s="108">
        <f t="shared" si="9"/>
        <v>120</v>
      </c>
      <c r="G292" s="376" t="e">
        <f>#REF!</f>
        <v>#REF!</v>
      </c>
      <c r="H292" s="376"/>
      <c r="I292" s="376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49" t="e">
        <f>#REF!</f>
        <v>#REF!</v>
      </c>
      <c r="C293" s="349"/>
      <c r="D293" s="106" t="str">
        <f t="shared" si="8"/>
        <v>AA poste3</v>
      </c>
      <c r="E293" s="107" t="s">
        <v>192</v>
      </c>
      <c r="F293" s="108">
        <f t="shared" si="9"/>
        <v>121</v>
      </c>
      <c r="G293" s="376" t="e">
        <f>#REF!</f>
        <v>#REF!</v>
      </c>
      <c r="H293" s="376"/>
      <c r="I293" s="376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49" t="e">
        <f>#REF!</f>
        <v>#REF!</v>
      </c>
      <c r="C294" s="349"/>
      <c r="D294" s="106" t="str">
        <f t="shared" si="8"/>
        <v>AA poste3</v>
      </c>
      <c r="E294" s="107" t="s">
        <v>192</v>
      </c>
      <c r="F294" s="108">
        <f t="shared" si="9"/>
        <v>122</v>
      </c>
      <c r="G294" s="376" t="e">
        <f>#REF!</f>
        <v>#REF!</v>
      </c>
      <c r="H294" s="376"/>
      <c r="I294" s="376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49" t="e">
        <f>#REF!</f>
        <v>#REF!</v>
      </c>
      <c r="C295" s="349"/>
      <c r="D295" s="106" t="str">
        <f t="shared" si="8"/>
        <v>AA poste3</v>
      </c>
      <c r="E295" s="107" t="s">
        <v>192</v>
      </c>
      <c r="F295" s="108">
        <f t="shared" si="9"/>
        <v>123</v>
      </c>
      <c r="G295" s="376" t="e">
        <f>#REF!</f>
        <v>#REF!</v>
      </c>
      <c r="H295" s="376"/>
      <c r="I295" s="376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49" t="e">
        <f>#REF!</f>
        <v>#REF!</v>
      </c>
      <c r="C296" s="349"/>
      <c r="D296" s="106" t="str">
        <f t="shared" si="8"/>
        <v>AA poste3</v>
      </c>
      <c r="E296" s="107" t="s">
        <v>192</v>
      </c>
      <c r="F296" s="108">
        <f t="shared" si="9"/>
        <v>124</v>
      </c>
      <c r="G296" s="376" t="e">
        <f>#REF!</f>
        <v>#REF!</v>
      </c>
      <c r="H296" s="376"/>
      <c r="I296" s="376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49" t="e">
        <f>#REF!</f>
        <v>#REF!</v>
      </c>
      <c r="C297" s="349"/>
      <c r="D297" s="106" t="str">
        <f t="shared" si="8"/>
        <v>AA poste3</v>
      </c>
      <c r="E297" s="107" t="s">
        <v>192</v>
      </c>
      <c r="F297" s="108">
        <f t="shared" si="9"/>
        <v>125</v>
      </c>
      <c r="G297" s="376" t="e">
        <f>#REF!</f>
        <v>#REF!</v>
      </c>
      <c r="H297" s="376"/>
      <c r="I297" s="376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12"/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</row>
    <row r="299" spans="1:13" ht="21.95" customHeight="1">
      <c r="A299" s="384" t="s">
        <v>193</v>
      </c>
      <c r="B299" s="384"/>
      <c r="C299" s="384"/>
      <c r="D299" s="384"/>
      <c r="E299" s="384"/>
      <c r="F299" s="384"/>
      <c r="G299" s="384"/>
      <c r="H299" s="384"/>
      <c r="I299" s="384"/>
      <c r="J299" s="384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85" t="s">
        <v>194</v>
      </c>
      <c r="B300" s="385"/>
      <c r="C300" s="385"/>
      <c r="D300" s="385"/>
      <c r="E300" s="385"/>
      <c r="F300" s="385"/>
      <c r="G300" s="385"/>
      <c r="H300" s="385"/>
      <c r="I300" s="386" t="s">
        <v>195</v>
      </c>
      <c r="J300" s="386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88" t="s">
        <v>196</v>
      </c>
      <c r="B301" s="388"/>
      <c r="C301" s="388"/>
      <c r="D301" s="388"/>
      <c r="E301" s="388"/>
      <c r="F301" s="388"/>
      <c r="G301" s="388"/>
      <c r="H301" s="388"/>
      <c r="I301" s="388"/>
      <c r="J301" s="388"/>
      <c r="K301" s="389" t="e">
        <f>K300+L300-M300</f>
        <v>#REF!</v>
      </c>
      <c r="L301" s="389"/>
      <c r="M301" s="389"/>
    </row>
    <row r="302" spans="1:13" ht="21.95" customHeight="1">
      <c r="A302" s="377" t="s">
        <v>185</v>
      </c>
      <c r="B302" s="377"/>
      <c r="C302" s="377"/>
      <c r="D302" s="377"/>
      <c r="E302" s="377"/>
      <c r="F302" s="377"/>
      <c r="G302" s="377"/>
      <c r="H302" s="377"/>
      <c r="I302" s="377"/>
      <c r="J302" s="377"/>
      <c r="K302" s="377"/>
      <c r="L302" s="377"/>
      <c r="M302" s="377"/>
    </row>
    <row r="303" spans="1:13" ht="12" customHeight="1">
      <c r="A303" s="378"/>
      <c r="B303" s="378"/>
      <c r="C303" s="378"/>
      <c r="D303" s="378"/>
      <c r="E303" s="378"/>
      <c r="F303" s="378"/>
      <c r="G303" s="378"/>
      <c r="H303" s="378"/>
      <c r="I303" s="378"/>
      <c r="J303" s="378"/>
      <c r="K303" s="378"/>
      <c r="L303" s="378"/>
      <c r="M303" s="378"/>
    </row>
    <row r="304" spans="1:13" ht="21.95" customHeight="1">
      <c r="A304" s="98" t="s">
        <v>186</v>
      </c>
      <c r="B304" s="379" t="s">
        <v>187</v>
      </c>
      <c r="C304" s="379"/>
      <c r="D304" s="379" t="s">
        <v>188</v>
      </c>
      <c r="E304" s="379"/>
      <c r="F304" s="379"/>
      <c r="G304" s="380" t="s">
        <v>189</v>
      </c>
      <c r="H304" s="380"/>
      <c r="I304" s="380"/>
      <c r="J304" s="381" t="s">
        <v>190</v>
      </c>
      <c r="K304" s="382" t="s">
        <v>97</v>
      </c>
      <c r="L304" s="382"/>
      <c r="M304" s="382"/>
    </row>
    <row r="305" spans="1:13" ht="21.95" customHeight="1">
      <c r="A305" s="99">
        <f>$H$15</f>
        <v>2010</v>
      </c>
      <c r="B305" s="379"/>
      <c r="C305" s="379"/>
      <c r="D305" s="379"/>
      <c r="E305" s="379"/>
      <c r="F305" s="379"/>
      <c r="G305" s="380"/>
      <c r="H305" s="380"/>
      <c r="I305" s="380"/>
      <c r="J305" s="381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87" t="s">
        <v>197</v>
      </c>
      <c r="B306" s="387"/>
      <c r="C306" s="387"/>
      <c r="D306" s="387"/>
      <c r="E306" s="387"/>
      <c r="F306" s="387"/>
      <c r="G306" s="387"/>
      <c r="H306" s="387"/>
      <c r="I306" s="387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49" t="e">
        <f>#REF!</f>
        <v>#REF!</v>
      </c>
      <c r="C307" s="349"/>
      <c r="D307" s="106" t="str">
        <f t="shared" ref="D307:D331" si="10">$G$19</f>
        <v>AA poste3</v>
      </c>
      <c r="E307" s="107" t="s">
        <v>192</v>
      </c>
      <c r="F307" s="108">
        <f>SUM(F297,1)</f>
        <v>126</v>
      </c>
      <c r="G307" s="376" t="e">
        <f>#REF!</f>
        <v>#REF!</v>
      </c>
      <c r="H307" s="376"/>
      <c r="I307" s="376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49" t="e">
        <f>#REF!</f>
        <v>#REF!</v>
      </c>
      <c r="C308" s="349"/>
      <c r="D308" s="106" t="str">
        <f t="shared" si="10"/>
        <v>AA poste3</v>
      </c>
      <c r="E308" s="107" t="s">
        <v>192</v>
      </c>
      <c r="F308" s="108">
        <f t="shared" ref="F308:F331" si="11">SUM(F307,1)</f>
        <v>127</v>
      </c>
      <c r="G308" s="376" t="e">
        <f>#REF!</f>
        <v>#REF!</v>
      </c>
      <c r="H308" s="376"/>
      <c r="I308" s="376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49" t="e">
        <f>#REF!</f>
        <v>#REF!</v>
      </c>
      <c r="C309" s="349"/>
      <c r="D309" s="106" t="str">
        <f t="shared" si="10"/>
        <v>AA poste3</v>
      </c>
      <c r="E309" s="107" t="s">
        <v>192</v>
      </c>
      <c r="F309" s="108">
        <f t="shared" si="11"/>
        <v>128</v>
      </c>
      <c r="G309" s="376" t="e">
        <f>#REF!</f>
        <v>#REF!</v>
      </c>
      <c r="H309" s="376"/>
      <c r="I309" s="376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49" t="e">
        <f>#REF!</f>
        <v>#REF!</v>
      </c>
      <c r="C310" s="349"/>
      <c r="D310" s="106" t="str">
        <f t="shared" si="10"/>
        <v>AA poste3</v>
      </c>
      <c r="E310" s="107" t="s">
        <v>192</v>
      </c>
      <c r="F310" s="108">
        <f t="shared" si="11"/>
        <v>129</v>
      </c>
      <c r="G310" s="376" t="e">
        <f>#REF!</f>
        <v>#REF!</v>
      </c>
      <c r="H310" s="376"/>
      <c r="I310" s="376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49" t="e">
        <f>#REF!</f>
        <v>#REF!</v>
      </c>
      <c r="C311" s="349"/>
      <c r="D311" s="106" t="str">
        <f t="shared" si="10"/>
        <v>AA poste3</v>
      </c>
      <c r="E311" s="107" t="s">
        <v>192</v>
      </c>
      <c r="F311" s="108">
        <f t="shared" si="11"/>
        <v>130</v>
      </c>
      <c r="G311" s="376" t="e">
        <f>#REF!</f>
        <v>#REF!</v>
      </c>
      <c r="H311" s="376"/>
      <c r="I311" s="376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49" t="e">
        <f>#REF!</f>
        <v>#REF!</v>
      </c>
      <c r="C312" s="349"/>
      <c r="D312" s="106" t="str">
        <f t="shared" si="10"/>
        <v>AA poste3</v>
      </c>
      <c r="E312" s="107" t="s">
        <v>192</v>
      </c>
      <c r="F312" s="108">
        <f t="shared" si="11"/>
        <v>131</v>
      </c>
      <c r="G312" s="376" t="e">
        <f>#REF!</f>
        <v>#REF!</v>
      </c>
      <c r="H312" s="376"/>
      <c r="I312" s="376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49" t="e">
        <f>#REF!</f>
        <v>#REF!</v>
      </c>
      <c r="C313" s="349"/>
      <c r="D313" s="106" t="str">
        <f t="shared" si="10"/>
        <v>AA poste3</v>
      </c>
      <c r="E313" s="107" t="s">
        <v>192</v>
      </c>
      <c r="F313" s="108">
        <f t="shared" si="11"/>
        <v>132</v>
      </c>
      <c r="G313" s="376" t="e">
        <f>#REF!</f>
        <v>#REF!</v>
      </c>
      <c r="H313" s="376"/>
      <c r="I313" s="376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49" t="e">
        <f>#REF!</f>
        <v>#REF!</v>
      </c>
      <c r="C314" s="349"/>
      <c r="D314" s="106" t="str">
        <f t="shared" si="10"/>
        <v>AA poste3</v>
      </c>
      <c r="E314" s="107" t="s">
        <v>192</v>
      </c>
      <c r="F314" s="108">
        <f t="shared" si="11"/>
        <v>133</v>
      </c>
      <c r="G314" s="376" t="e">
        <f>#REF!</f>
        <v>#REF!</v>
      </c>
      <c r="H314" s="376"/>
      <c r="I314" s="376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49" t="e">
        <f>#REF!</f>
        <v>#REF!</v>
      </c>
      <c r="C315" s="349"/>
      <c r="D315" s="106" t="str">
        <f t="shared" si="10"/>
        <v>AA poste3</v>
      </c>
      <c r="E315" s="107" t="s">
        <v>192</v>
      </c>
      <c r="F315" s="108">
        <f t="shared" si="11"/>
        <v>134</v>
      </c>
      <c r="G315" s="376" t="e">
        <f>#REF!</f>
        <v>#REF!</v>
      </c>
      <c r="H315" s="376"/>
      <c r="I315" s="376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49" t="e">
        <f>#REF!</f>
        <v>#REF!</v>
      </c>
      <c r="C316" s="349"/>
      <c r="D316" s="106" t="str">
        <f t="shared" si="10"/>
        <v>AA poste3</v>
      </c>
      <c r="E316" s="107" t="s">
        <v>192</v>
      </c>
      <c r="F316" s="108">
        <f t="shared" si="11"/>
        <v>135</v>
      </c>
      <c r="G316" s="376" t="e">
        <f>#REF!</f>
        <v>#REF!</v>
      </c>
      <c r="H316" s="376"/>
      <c r="I316" s="376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49" t="e">
        <f>#REF!</f>
        <v>#REF!</v>
      </c>
      <c r="C317" s="349"/>
      <c r="D317" s="106" t="str">
        <f t="shared" si="10"/>
        <v>AA poste3</v>
      </c>
      <c r="E317" s="107" t="s">
        <v>192</v>
      </c>
      <c r="F317" s="108">
        <f t="shared" si="11"/>
        <v>136</v>
      </c>
      <c r="G317" s="376" t="e">
        <f>#REF!</f>
        <v>#REF!</v>
      </c>
      <c r="H317" s="376"/>
      <c r="I317" s="376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49" t="e">
        <f>#REF!</f>
        <v>#REF!</v>
      </c>
      <c r="C318" s="349"/>
      <c r="D318" s="106" t="str">
        <f t="shared" si="10"/>
        <v>AA poste3</v>
      </c>
      <c r="E318" s="107" t="s">
        <v>192</v>
      </c>
      <c r="F318" s="108">
        <f t="shared" si="11"/>
        <v>137</v>
      </c>
      <c r="G318" s="376" t="e">
        <f>#REF!</f>
        <v>#REF!</v>
      </c>
      <c r="H318" s="376"/>
      <c r="I318" s="376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49" t="e">
        <f>#REF!</f>
        <v>#REF!</v>
      </c>
      <c r="C319" s="349"/>
      <c r="D319" s="106" t="str">
        <f t="shared" si="10"/>
        <v>AA poste3</v>
      </c>
      <c r="E319" s="107" t="s">
        <v>192</v>
      </c>
      <c r="F319" s="108">
        <f t="shared" si="11"/>
        <v>138</v>
      </c>
      <c r="G319" s="376" t="e">
        <f>#REF!</f>
        <v>#REF!</v>
      </c>
      <c r="H319" s="376"/>
      <c r="I319" s="376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49" t="e">
        <f>#REF!</f>
        <v>#REF!</v>
      </c>
      <c r="C320" s="349"/>
      <c r="D320" s="106" t="str">
        <f t="shared" si="10"/>
        <v>AA poste3</v>
      </c>
      <c r="E320" s="107" t="s">
        <v>192</v>
      </c>
      <c r="F320" s="108">
        <f t="shared" si="11"/>
        <v>139</v>
      </c>
      <c r="G320" s="376" t="e">
        <f>#REF!</f>
        <v>#REF!</v>
      </c>
      <c r="H320" s="376"/>
      <c r="I320" s="376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49" t="e">
        <f>#REF!</f>
        <v>#REF!</v>
      </c>
      <c r="C321" s="349"/>
      <c r="D321" s="106" t="str">
        <f t="shared" si="10"/>
        <v>AA poste3</v>
      </c>
      <c r="E321" s="107" t="s">
        <v>192</v>
      </c>
      <c r="F321" s="108">
        <f t="shared" si="11"/>
        <v>140</v>
      </c>
      <c r="G321" s="376" t="e">
        <f>#REF!</f>
        <v>#REF!</v>
      </c>
      <c r="H321" s="376"/>
      <c r="I321" s="376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49" t="e">
        <f>#REF!</f>
        <v>#REF!</v>
      </c>
      <c r="C322" s="349"/>
      <c r="D322" s="106" t="str">
        <f t="shared" si="10"/>
        <v>AA poste3</v>
      </c>
      <c r="E322" s="107" t="s">
        <v>192</v>
      </c>
      <c r="F322" s="108">
        <f t="shared" si="11"/>
        <v>141</v>
      </c>
      <c r="G322" s="376" t="e">
        <f>#REF!</f>
        <v>#REF!</v>
      </c>
      <c r="H322" s="376"/>
      <c r="I322" s="376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49" t="e">
        <f>#REF!</f>
        <v>#REF!</v>
      </c>
      <c r="C323" s="349"/>
      <c r="D323" s="106" t="str">
        <f t="shared" si="10"/>
        <v>AA poste3</v>
      </c>
      <c r="E323" s="107" t="s">
        <v>192</v>
      </c>
      <c r="F323" s="108">
        <f t="shared" si="11"/>
        <v>142</v>
      </c>
      <c r="G323" s="376" t="e">
        <f>#REF!</f>
        <v>#REF!</v>
      </c>
      <c r="H323" s="376"/>
      <c r="I323" s="376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49" t="e">
        <f>#REF!</f>
        <v>#REF!</v>
      </c>
      <c r="C324" s="349"/>
      <c r="D324" s="106" t="str">
        <f t="shared" si="10"/>
        <v>AA poste3</v>
      </c>
      <c r="E324" s="107" t="s">
        <v>192</v>
      </c>
      <c r="F324" s="108">
        <f t="shared" si="11"/>
        <v>143</v>
      </c>
      <c r="G324" s="376" t="e">
        <f>#REF!</f>
        <v>#REF!</v>
      </c>
      <c r="H324" s="376"/>
      <c r="I324" s="376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49" t="e">
        <f>#REF!</f>
        <v>#REF!</v>
      </c>
      <c r="C325" s="349"/>
      <c r="D325" s="106" t="str">
        <f t="shared" si="10"/>
        <v>AA poste3</v>
      </c>
      <c r="E325" s="107" t="s">
        <v>192</v>
      </c>
      <c r="F325" s="108">
        <f t="shared" si="11"/>
        <v>144</v>
      </c>
      <c r="G325" s="376" t="e">
        <f>#REF!</f>
        <v>#REF!</v>
      </c>
      <c r="H325" s="376"/>
      <c r="I325" s="376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49" t="e">
        <f>#REF!</f>
        <v>#REF!</v>
      </c>
      <c r="C326" s="349"/>
      <c r="D326" s="106" t="str">
        <f t="shared" si="10"/>
        <v>AA poste3</v>
      </c>
      <c r="E326" s="107" t="s">
        <v>192</v>
      </c>
      <c r="F326" s="108">
        <f t="shared" si="11"/>
        <v>145</v>
      </c>
      <c r="G326" s="376" t="e">
        <f>#REF!</f>
        <v>#REF!</v>
      </c>
      <c r="H326" s="376"/>
      <c r="I326" s="376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49" t="e">
        <f>#REF!</f>
        <v>#REF!</v>
      </c>
      <c r="C327" s="349"/>
      <c r="D327" s="106" t="str">
        <f t="shared" si="10"/>
        <v>AA poste3</v>
      </c>
      <c r="E327" s="107" t="s">
        <v>192</v>
      </c>
      <c r="F327" s="108">
        <f t="shared" si="11"/>
        <v>146</v>
      </c>
      <c r="G327" s="376" t="e">
        <f>#REF!</f>
        <v>#REF!</v>
      </c>
      <c r="H327" s="376"/>
      <c r="I327" s="376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49" t="e">
        <f>#REF!</f>
        <v>#REF!</v>
      </c>
      <c r="C328" s="349"/>
      <c r="D328" s="106" t="str">
        <f t="shared" si="10"/>
        <v>AA poste3</v>
      </c>
      <c r="E328" s="107" t="s">
        <v>192</v>
      </c>
      <c r="F328" s="108">
        <f t="shared" si="11"/>
        <v>147</v>
      </c>
      <c r="G328" s="376" t="e">
        <f>#REF!</f>
        <v>#REF!</v>
      </c>
      <c r="H328" s="376"/>
      <c r="I328" s="376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49" t="e">
        <f>#REF!</f>
        <v>#REF!</v>
      </c>
      <c r="C329" s="349"/>
      <c r="D329" s="106" t="str">
        <f t="shared" si="10"/>
        <v>AA poste3</v>
      </c>
      <c r="E329" s="107" t="s">
        <v>192</v>
      </c>
      <c r="F329" s="108">
        <f t="shared" si="11"/>
        <v>148</v>
      </c>
      <c r="G329" s="376" t="e">
        <f>#REF!</f>
        <v>#REF!</v>
      </c>
      <c r="H329" s="376"/>
      <c r="I329" s="376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49" t="e">
        <f>#REF!</f>
        <v>#REF!</v>
      </c>
      <c r="C330" s="349"/>
      <c r="D330" s="106" t="str">
        <f t="shared" si="10"/>
        <v>AA poste3</v>
      </c>
      <c r="E330" s="107" t="s">
        <v>192</v>
      </c>
      <c r="F330" s="108">
        <f t="shared" si="11"/>
        <v>149</v>
      </c>
      <c r="G330" s="376" t="e">
        <f>#REF!</f>
        <v>#REF!</v>
      </c>
      <c r="H330" s="376"/>
      <c r="I330" s="376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49" t="e">
        <f>#REF!</f>
        <v>#REF!</v>
      </c>
      <c r="C331" s="349"/>
      <c r="D331" s="106" t="str">
        <f t="shared" si="10"/>
        <v>AA poste3</v>
      </c>
      <c r="E331" s="107" t="s">
        <v>192</v>
      </c>
      <c r="F331" s="108">
        <f t="shared" si="11"/>
        <v>150</v>
      </c>
      <c r="G331" s="376" t="e">
        <f>#REF!</f>
        <v>#REF!</v>
      </c>
      <c r="H331" s="376"/>
      <c r="I331" s="376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12"/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</row>
    <row r="333" spans="1:13" ht="21.95" customHeight="1">
      <c r="A333" s="384" t="s">
        <v>193</v>
      </c>
      <c r="B333" s="384"/>
      <c r="C333" s="384"/>
      <c r="D333" s="384"/>
      <c r="E333" s="384"/>
      <c r="F333" s="384"/>
      <c r="G333" s="384"/>
      <c r="H333" s="384"/>
      <c r="I333" s="384"/>
      <c r="J333" s="384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85" t="s">
        <v>194</v>
      </c>
      <c r="B334" s="385"/>
      <c r="C334" s="385"/>
      <c r="D334" s="385"/>
      <c r="E334" s="385"/>
      <c r="F334" s="385"/>
      <c r="G334" s="385"/>
      <c r="H334" s="385"/>
      <c r="I334" s="386" t="s">
        <v>195</v>
      </c>
      <c r="J334" s="386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88" t="s">
        <v>196</v>
      </c>
      <c r="B335" s="388"/>
      <c r="C335" s="388"/>
      <c r="D335" s="388"/>
      <c r="E335" s="388"/>
      <c r="F335" s="388"/>
      <c r="G335" s="388"/>
      <c r="H335" s="388"/>
      <c r="I335" s="388"/>
      <c r="J335" s="388"/>
      <c r="K335" s="389" t="e">
        <f>K334+L334-M334</f>
        <v>#REF!</v>
      </c>
      <c r="L335" s="389"/>
      <c r="M335" s="389"/>
    </row>
    <row r="336" spans="1:13" ht="23.25" customHeight="1">
      <c r="A336" s="393" t="s">
        <v>198</v>
      </c>
      <c r="B336" s="393"/>
      <c r="C336" s="393"/>
      <c r="D336" s="393"/>
      <c r="E336" s="393"/>
      <c r="F336" s="393"/>
      <c r="G336" s="393"/>
      <c r="H336" s="393"/>
      <c r="I336" s="115">
        <f>$H$15</f>
        <v>2010</v>
      </c>
      <c r="J336" s="115"/>
      <c r="K336" s="116"/>
      <c r="L336" s="116"/>
      <c r="M336" s="116"/>
    </row>
    <row r="337" spans="1:13" ht="12" customHeight="1">
      <c r="A337" s="394"/>
      <c r="B337" s="394"/>
      <c r="C337" s="394"/>
      <c r="D337" s="394"/>
      <c r="E337" s="394"/>
      <c r="F337" s="394"/>
      <c r="G337" s="394"/>
      <c r="H337" s="394"/>
      <c r="I337" s="394"/>
      <c r="J337" s="394"/>
      <c r="K337" s="394"/>
      <c r="L337" s="394"/>
      <c r="M337" s="394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95">
        <f>$H$22</f>
        <v>40515</v>
      </c>
      <c r="F339" s="395"/>
      <c r="G339" s="396" t="s">
        <v>200</v>
      </c>
      <c r="H339" s="396"/>
      <c r="I339" s="396"/>
      <c r="J339" s="396"/>
      <c r="K339" s="396"/>
      <c r="L339" s="397">
        <f>$I$31</f>
        <v>0</v>
      </c>
      <c r="M339" s="397"/>
    </row>
    <row r="340" spans="1:13">
      <c r="A340" s="390" t="s">
        <v>201</v>
      </c>
      <c r="B340" s="390"/>
      <c r="C340" s="390"/>
      <c r="D340" s="390"/>
      <c r="E340" s="390"/>
      <c r="F340" s="390"/>
      <c r="G340" s="390"/>
      <c r="H340" s="390"/>
      <c r="I340" s="390"/>
      <c r="J340" s="390"/>
      <c r="K340" s="391">
        <f>$C$52</f>
        <v>0.5</v>
      </c>
      <c r="L340" s="391"/>
      <c r="M340" s="120" t="s">
        <v>12</v>
      </c>
    </row>
    <row r="341" spans="1:13">
      <c r="A341" s="390" t="s">
        <v>202</v>
      </c>
      <c r="B341" s="390"/>
      <c r="C341" s="390"/>
      <c r="D341" s="390"/>
      <c r="E341" s="390"/>
      <c r="F341" s="390"/>
      <c r="G341" s="390"/>
      <c r="H341" s="390"/>
      <c r="I341" s="390"/>
      <c r="J341" s="390"/>
      <c r="K341" s="391">
        <f>$L$36</f>
        <v>0</v>
      </c>
      <c r="L341" s="391"/>
      <c r="M341" s="120" t="s">
        <v>12</v>
      </c>
    </row>
    <row r="342" spans="1:13">
      <c r="A342" s="390" t="s">
        <v>203</v>
      </c>
      <c r="B342" s="390"/>
      <c r="C342" s="390"/>
      <c r="D342" s="390"/>
      <c r="E342" s="392"/>
      <c r="F342" s="392"/>
      <c r="G342" s="390"/>
      <c r="H342" s="390"/>
      <c r="I342" s="390"/>
      <c r="J342" s="390"/>
      <c r="K342" s="390"/>
      <c r="L342" s="270"/>
      <c r="M342" s="270"/>
    </row>
    <row r="343" spans="1:13">
      <c r="A343" s="390" t="s">
        <v>204</v>
      </c>
      <c r="B343" s="390"/>
      <c r="C343" s="390"/>
      <c r="D343" s="390"/>
      <c r="E343" s="390"/>
      <c r="F343" s="390"/>
      <c r="G343" s="390"/>
      <c r="H343" s="390"/>
      <c r="I343" s="390"/>
      <c r="J343" s="390"/>
      <c r="K343" s="400">
        <f>SUM(J307:J331,J273:J297,J239:J263,J204:J228,J170:J194,J136:J160)</f>
        <v>0</v>
      </c>
      <c r="L343" s="400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01" t="s">
        <v>205</v>
      </c>
      <c r="B345" s="401"/>
      <c r="C345" s="401"/>
      <c r="D345" s="401"/>
      <c r="E345" s="401"/>
      <c r="F345" s="401"/>
      <c r="G345" s="401"/>
      <c r="H345" s="401"/>
      <c r="I345" s="401"/>
      <c r="J345" s="401"/>
      <c r="K345" s="401"/>
      <c r="L345" s="401"/>
      <c r="M345" s="401"/>
    </row>
    <row r="346" spans="1:13" ht="18" customHeight="1">
      <c r="A346" s="401"/>
      <c r="B346" s="401"/>
      <c r="C346" s="401"/>
      <c r="D346" s="401"/>
      <c r="E346" s="401"/>
      <c r="F346" s="401"/>
      <c r="G346" s="401"/>
      <c r="H346" s="401"/>
      <c r="I346" s="401"/>
      <c r="J346" s="401"/>
      <c r="K346" s="401"/>
      <c r="L346" s="401"/>
      <c r="M346" s="401"/>
    </row>
    <row r="347" spans="1:13" ht="12" customHeight="1">
      <c r="A347" s="402"/>
      <c r="B347" s="402"/>
      <c r="C347" s="402"/>
      <c r="D347" s="402"/>
      <c r="E347" s="402"/>
      <c r="F347" s="402"/>
      <c r="G347" s="402"/>
      <c r="H347" s="402"/>
      <c r="I347" s="402"/>
      <c r="J347" s="402"/>
      <c r="K347" s="402"/>
      <c r="L347" s="402"/>
      <c r="M347" s="402"/>
    </row>
    <row r="348" spans="1:13">
      <c r="A348" s="124" t="s">
        <v>206</v>
      </c>
      <c r="B348" s="403" t="s">
        <v>207</v>
      </c>
      <c r="C348" s="403"/>
      <c r="D348" s="403"/>
      <c r="E348" s="403"/>
      <c r="F348" s="403"/>
      <c r="G348" s="403"/>
      <c r="H348" s="403"/>
      <c r="I348" s="403"/>
      <c r="J348" s="403"/>
      <c r="K348" s="403"/>
      <c r="L348" s="403"/>
      <c r="M348" s="403"/>
    </row>
    <row r="349" spans="1:13">
      <c r="A349" s="125" t="s">
        <v>208</v>
      </c>
      <c r="B349" s="398" t="s">
        <v>209</v>
      </c>
      <c r="C349" s="398"/>
      <c r="D349" s="398"/>
      <c r="E349" s="398"/>
      <c r="F349" s="398"/>
      <c r="G349" s="398"/>
      <c r="H349" s="398"/>
      <c r="I349" s="398"/>
      <c r="J349" s="398"/>
      <c r="K349" s="398"/>
      <c r="L349" s="398"/>
      <c r="M349" s="398"/>
    </row>
    <row r="350" spans="1:13">
      <c r="A350" s="125" t="s">
        <v>210</v>
      </c>
      <c r="B350" s="398" t="s">
        <v>211</v>
      </c>
      <c r="C350" s="398"/>
      <c r="D350" s="398"/>
      <c r="E350" s="398"/>
      <c r="F350" s="398"/>
      <c r="G350" s="398"/>
      <c r="H350" s="398"/>
      <c r="I350" s="398"/>
      <c r="J350" s="398"/>
      <c r="K350" s="398"/>
      <c r="L350" s="398"/>
      <c r="M350" s="398"/>
    </row>
    <row r="351" spans="1:13">
      <c r="A351" s="125" t="s">
        <v>212</v>
      </c>
      <c r="B351" s="398" t="s">
        <v>213</v>
      </c>
      <c r="C351" s="398"/>
      <c r="D351" s="398"/>
      <c r="E351" s="398"/>
      <c r="F351" s="398"/>
      <c r="G351" s="398"/>
      <c r="H351" s="398"/>
      <c r="I351" s="398"/>
      <c r="J351" s="398"/>
      <c r="K351" s="398"/>
      <c r="L351" s="398"/>
      <c r="M351" s="398"/>
    </row>
    <row r="352" spans="1:13">
      <c r="A352" s="125" t="s">
        <v>214</v>
      </c>
      <c r="B352" s="270" t="s">
        <v>215</v>
      </c>
      <c r="C352" s="270"/>
      <c r="D352" s="270"/>
      <c r="E352" s="270"/>
      <c r="F352" s="270"/>
      <c r="G352" s="270"/>
      <c r="H352" s="270"/>
      <c r="I352" s="270"/>
      <c r="J352" s="399" t="s">
        <v>216</v>
      </c>
      <c r="K352" s="399"/>
      <c r="L352" s="399"/>
      <c r="M352" s="399"/>
    </row>
    <row r="353" spans="1:13" ht="14.25">
      <c r="A353" s="125" t="s">
        <v>217</v>
      </c>
      <c r="B353" s="270" t="s">
        <v>218</v>
      </c>
      <c r="C353" s="270"/>
      <c r="D353" s="270"/>
      <c r="E353" s="270"/>
      <c r="F353" s="270"/>
      <c r="G353" s="270"/>
      <c r="H353" s="270"/>
      <c r="I353" s="270"/>
      <c r="J353" s="399" t="s">
        <v>219</v>
      </c>
      <c r="K353" s="399"/>
      <c r="L353" s="399"/>
      <c r="M353" s="399"/>
    </row>
    <row r="354" spans="1:13" ht="14.25">
      <c r="A354" s="126"/>
      <c r="B354" s="411" t="s">
        <v>220</v>
      </c>
      <c r="C354" s="411"/>
      <c r="D354" s="411"/>
      <c r="E354" s="411"/>
      <c r="F354" s="411"/>
      <c r="G354" s="411"/>
      <c r="H354" s="411"/>
      <c r="I354" s="411"/>
      <c r="J354" s="411"/>
      <c r="K354" s="411"/>
      <c r="L354" s="411"/>
      <c r="M354" s="411"/>
    </row>
    <row r="355" spans="1:13">
      <c r="A355" s="127" t="s">
        <v>221</v>
      </c>
      <c r="B355" s="412" t="s">
        <v>222</v>
      </c>
      <c r="C355" s="412"/>
      <c r="D355" s="412"/>
      <c r="E355" s="412"/>
      <c r="F355" s="412"/>
      <c r="G355" s="412"/>
      <c r="H355" s="412"/>
      <c r="I355" s="412"/>
      <c r="J355" s="413" t="s">
        <v>223</v>
      </c>
      <c r="K355" s="413"/>
      <c r="L355" s="413"/>
      <c r="M355" s="413"/>
    </row>
    <row r="356" spans="1:13">
      <c r="A356" s="414"/>
      <c r="B356" s="414"/>
      <c r="C356" s="414"/>
      <c r="D356" s="414"/>
      <c r="E356" s="414"/>
      <c r="F356" s="414"/>
      <c r="G356" s="414"/>
      <c r="H356" s="414"/>
      <c r="I356" s="414"/>
      <c r="J356" s="414"/>
      <c r="K356" s="414"/>
      <c r="L356" s="414"/>
      <c r="M356" s="414"/>
    </row>
    <row r="357" spans="1:13" ht="20.25">
      <c r="A357" s="415" t="s">
        <v>198</v>
      </c>
      <c r="B357" s="415"/>
      <c r="C357" s="415"/>
      <c r="D357" s="415"/>
      <c r="E357" s="415"/>
      <c r="F357" s="415"/>
      <c r="G357" s="415"/>
      <c r="H357" s="415"/>
      <c r="I357" s="128">
        <f>$H$15</f>
        <v>2010</v>
      </c>
      <c r="J357" s="128"/>
      <c r="K357" s="129"/>
      <c r="L357" s="130"/>
      <c r="M357" s="131"/>
    </row>
    <row r="358" spans="1:13" ht="12" customHeight="1">
      <c r="A358" s="416"/>
      <c r="B358" s="416"/>
      <c r="C358" s="416"/>
      <c r="D358" s="416"/>
      <c r="E358" s="416"/>
      <c r="F358" s="416"/>
      <c r="G358" s="416"/>
      <c r="H358" s="416"/>
      <c r="I358" s="416"/>
      <c r="J358" s="416"/>
      <c r="K358" s="416"/>
      <c r="L358" s="416"/>
      <c r="M358" s="416"/>
    </row>
    <row r="359" spans="1:13" ht="36.75" customHeight="1">
      <c r="A359" s="404" t="s">
        <v>224</v>
      </c>
      <c r="B359" s="404"/>
      <c r="C359" s="404"/>
      <c r="D359" s="404"/>
      <c r="E359" s="404"/>
      <c r="F359" s="404"/>
      <c r="G359" s="404"/>
      <c r="H359" s="404"/>
      <c r="I359" s="404"/>
      <c r="J359" s="404"/>
      <c r="K359" s="404"/>
      <c r="L359" s="404"/>
      <c r="M359" s="404"/>
    </row>
    <row r="360" spans="1:13" ht="12" customHeight="1">
      <c r="A360" s="405"/>
      <c r="B360" s="405"/>
      <c r="C360" s="405"/>
      <c r="D360" s="405"/>
      <c r="E360" s="405"/>
      <c r="F360" s="405"/>
      <c r="G360" s="405"/>
      <c r="H360" s="405"/>
      <c r="I360" s="405"/>
      <c r="J360" s="405"/>
      <c r="K360" s="405"/>
      <c r="L360" s="405"/>
      <c r="M360" s="405"/>
    </row>
    <row r="361" spans="1:13" hidden="1">
      <c r="A361" s="406"/>
      <c r="B361" s="406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07" t="s">
        <v>225</v>
      </c>
      <c r="B362" s="407"/>
      <c r="C362" s="137" t="s">
        <v>226</v>
      </c>
      <c r="D362" s="138" t="s">
        <v>227</v>
      </c>
      <c r="E362" s="408" t="s">
        <v>228</v>
      </c>
      <c r="F362" s="408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409" t="s">
        <v>235</v>
      </c>
      <c r="B363" s="409"/>
      <c r="C363" s="142"/>
      <c r="D363" s="143"/>
      <c r="E363" s="410">
        <f>D363</f>
        <v>0</v>
      </c>
      <c r="F363" s="410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09" t="s">
        <v>236</v>
      </c>
      <c r="B364" s="409"/>
      <c r="C364" s="142"/>
      <c r="D364" s="143"/>
      <c r="E364" s="410">
        <f t="shared" ref="E364:E374" si="12">E363+D364</f>
        <v>0</v>
      </c>
      <c r="F364" s="410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09" t="s">
        <v>237</v>
      </c>
      <c r="B365" s="409"/>
      <c r="C365" s="142"/>
      <c r="D365" s="143"/>
      <c r="E365" s="410">
        <f t="shared" si="12"/>
        <v>0</v>
      </c>
      <c r="F365" s="410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09" t="s">
        <v>238</v>
      </c>
      <c r="B366" s="409"/>
      <c r="C366" s="142"/>
      <c r="D366" s="143"/>
      <c r="E366" s="410">
        <f t="shared" si="12"/>
        <v>0</v>
      </c>
      <c r="F366" s="410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09" t="s">
        <v>239</v>
      </c>
      <c r="B367" s="409"/>
      <c r="C367" s="142"/>
      <c r="D367" s="143"/>
      <c r="E367" s="410">
        <f t="shared" si="12"/>
        <v>0</v>
      </c>
      <c r="F367" s="410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09" t="s">
        <v>240</v>
      </c>
      <c r="B368" s="409"/>
      <c r="C368" s="142"/>
      <c r="D368" s="143"/>
      <c r="E368" s="410">
        <f t="shared" si="12"/>
        <v>0</v>
      </c>
      <c r="F368" s="410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09" t="s">
        <v>241</v>
      </c>
      <c r="B369" s="409"/>
      <c r="C369" s="142"/>
      <c r="D369" s="143"/>
      <c r="E369" s="410">
        <f t="shared" si="12"/>
        <v>0</v>
      </c>
      <c r="F369" s="410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09" t="s">
        <v>242</v>
      </c>
      <c r="B370" s="409"/>
      <c r="C370" s="142"/>
      <c r="D370" s="143"/>
      <c r="E370" s="410">
        <f t="shared" si="12"/>
        <v>0</v>
      </c>
      <c r="F370" s="410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09" t="s">
        <v>243</v>
      </c>
      <c r="B371" s="409"/>
      <c r="C371" s="142"/>
      <c r="D371" s="143"/>
      <c r="E371" s="410">
        <f t="shared" si="12"/>
        <v>0</v>
      </c>
      <c r="F371" s="410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22" t="s">
        <v>244</v>
      </c>
      <c r="B372" s="422"/>
      <c r="C372" s="148"/>
      <c r="D372" s="149"/>
      <c r="E372" s="423">
        <f t="shared" si="12"/>
        <v>0</v>
      </c>
      <c r="F372" s="423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17" t="s">
        <v>245</v>
      </c>
      <c r="B373" s="417"/>
      <c r="C373" s="154"/>
      <c r="D373" s="155"/>
      <c r="E373" s="418">
        <f t="shared" si="12"/>
        <v>0</v>
      </c>
      <c r="F373" s="418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09" t="s">
        <v>246</v>
      </c>
      <c r="B374" s="409"/>
      <c r="C374" s="142"/>
      <c r="D374" s="143"/>
      <c r="E374" s="410">
        <f t="shared" si="12"/>
        <v>0</v>
      </c>
      <c r="F374" s="410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19"/>
      <c r="B375" s="419"/>
      <c r="C375" s="419"/>
      <c r="D375" s="419"/>
      <c r="E375" s="419"/>
      <c r="F375" s="419"/>
      <c r="G375" s="419"/>
      <c r="H375" s="419"/>
      <c r="I375" s="419"/>
      <c r="J375" s="419"/>
      <c r="K375" s="419"/>
      <c r="L375" s="419"/>
      <c r="M375" s="419"/>
    </row>
    <row r="376" spans="1:13" ht="12" customHeight="1">
      <c r="A376" s="420" t="s">
        <v>247</v>
      </c>
      <c r="B376" s="420"/>
      <c r="C376" s="420"/>
      <c r="D376" s="420"/>
      <c r="E376" s="420"/>
      <c r="F376" s="160">
        <f>SUM(D363:D374)</f>
        <v>0</v>
      </c>
      <c r="G376" s="161" t="s">
        <v>12</v>
      </c>
      <c r="H376" s="421" t="s">
        <v>248</v>
      </c>
      <c r="I376" s="421"/>
      <c r="J376" s="421"/>
      <c r="K376" s="421"/>
      <c r="L376" s="162" t="e">
        <f>$L$374</f>
        <v>#DIV/0!</v>
      </c>
      <c r="M376" s="163" t="s">
        <v>84</v>
      </c>
    </row>
    <row r="377" spans="1:13" ht="12" customHeight="1">
      <c r="A377" s="429" t="s">
        <v>249</v>
      </c>
      <c r="B377" s="429"/>
      <c r="C377" s="429"/>
      <c r="D377" s="429"/>
      <c r="E377" s="429"/>
      <c r="F377" s="164">
        <f>SUM(F376,K341)</f>
        <v>0</v>
      </c>
      <c r="G377" s="165" t="s">
        <v>12</v>
      </c>
      <c r="H377" s="430" t="s">
        <v>250</v>
      </c>
      <c r="I377" s="430"/>
      <c r="J377" s="430"/>
      <c r="K377" s="430"/>
      <c r="L377" s="166">
        <f>$M$374</f>
        <v>0</v>
      </c>
      <c r="M377" s="167" t="s">
        <v>84</v>
      </c>
    </row>
    <row r="378" spans="1:13">
      <c r="A378" s="270"/>
      <c r="B378" s="270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70"/>
      <c r="B379" s="270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31" t="s">
        <v>251</v>
      </c>
      <c r="B380" s="431"/>
      <c r="C380" s="431"/>
      <c r="D380" s="431"/>
      <c r="E380" s="431"/>
      <c r="F380" s="431"/>
      <c r="G380" s="431"/>
      <c r="H380" s="431"/>
      <c r="I380" s="431"/>
      <c r="J380" s="431"/>
      <c r="K380" s="431"/>
      <c r="L380" s="431"/>
      <c r="M380" s="431"/>
    </row>
    <row r="381" spans="1:13" ht="409.5" customHeight="1">
      <c r="A381" s="432"/>
      <c r="B381" s="432"/>
      <c r="C381" s="432"/>
      <c r="D381" s="432"/>
      <c r="E381" s="432"/>
      <c r="F381" s="432"/>
      <c r="G381" s="432"/>
      <c r="H381" s="432"/>
      <c r="I381" s="432"/>
      <c r="J381" s="432"/>
      <c r="K381" s="432"/>
      <c r="L381" s="432"/>
      <c r="M381" s="432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24" t="s">
        <v>252</v>
      </c>
      <c r="B383" s="424"/>
      <c r="C383" s="424"/>
      <c r="D383" s="424"/>
      <c r="E383" s="424"/>
      <c r="F383" s="424"/>
      <c r="G383" s="424"/>
      <c r="H383" s="424"/>
      <c r="I383" s="424"/>
      <c r="J383" s="175"/>
      <c r="K383" s="176">
        <v>15</v>
      </c>
      <c r="L383" s="177" t="s">
        <v>84</v>
      </c>
      <c r="M383" s="173"/>
    </row>
    <row r="384" spans="1:13">
      <c r="A384" s="424" t="s">
        <v>253</v>
      </c>
      <c r="B384" s="424"/>
      <c r="C384" s="424"/>
      <c r="D384" s="424"/>
      <c r="E384" s="424"/>
      <c r="F384" s="424"/>
      <c r="G384" s="424"/>
      <c r="H384" s="424"/>
      <c r="I384" s="424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425" t="s">
        <v>254</v>
      </c>
      <c r="B386" s="425"/>
      <c r="C386" s="425"/>
      <c r="D386" s="425"/>
      <c r="E386" s="425"/>
      <c r="F386" s="425"/>
      <c r="G386" s="425"/>
      <c r="H386" s="425"/>
      <c r="I386" s="425"/>
      <c r="J386" s="425"/>
      <c r="K386" s="425"/>
      <c r="L386" s="425"/>
      <c r="M386" s="425"/>
    </row>
    <row r="387" spans="1:13" ht="27.95" customHeight="1">
      <c r="A387" s="426" t="s">
        <v>255</v>
      </c>
      <c r="B387" s="426"/>
      <c r="C387" s="427" t="s">
        <v>256</v>
      </c>
      <c r="D387" s="427"/>
      <c r="E387" s="427" t="s">
        <v>257</v>
      </c>
      <c r="F387" s="427"/>
      <c r="G387" s="427"/>
      <c r="H387" s="428" t="s">
        <v>165</v>
      </c>
      <c r="I387" s="428"/>
      <c r="J387" s="428"/>
      <c r="K387" s="428"/>
      <c r="L387" s="428"/>
      <c r="M387" s="428"/>
    </row>
    <row r="388" spans="1:13" ht="27.95" customHeight="1">
      <c r="A388" s="426" t="s">
        <v>258</v>
      </c>
      <c r="B388" s="426"/>
      <c r="C388" s="434"/>
      <c r="D388" s="434"/>
      <c r="E388" s="427"/>
      <c r="F388" s="427"/>
      <c r="G388" s="427"/>
      <c r="H388" s="435"/>
      <c r="I388" s="435"/>
      <c r="J388" s="435"/>
      <c r="K388" s="435"/>
      <c r="L388" s="435"/>
      <c r="M388" s="435"/>
    </row>
    <row r="389" spans="1:13" ht="27.95" customHeight="1">
      <c r="A389" s="426" t="s">
        <v>259</v>
      </c>
      <c r="B389" s="426"/>
      <c r="C389" s="434"/>
      <c r="D389" s="434"/>
      <c r="E389" s="427"/>
      <c r="F389" s="427"/>
      <c r="G389" s="427"/>
      <c r="H389" s="435"/>
      <c r="I389" s="435"/>
      <c r="J389" s="435"/>
      <c r="K389" s="435"/>
      <c r="L389" s="435"/>
      <c r="M389" s="435"/>
    </row>
    <row r="390" spans="1:13" ht="27.95" customHeight="1">
      <c r="A390" s="433" t="s">
        <v>260</v>
      </c>
      <c r="B390" s="433"/>
      <c r="C390" s="434"/>
      <c r="D390" s="434"/>
      <c r="E390" s="427"/>
      <c r="F390" s="427"/>
      <c r="G390" s="427"/>
      <c r="H390" s="435"/>
      <c r="I390" s="435"/>
      <c r="J390" s="435"/>
      <c r="K390" s="435"/>
      <c r="L390" s="435"/>
      <c r="M390" s="435"/>
    </row>
    <row r="391" spans="1:13" ht="27.95" customHeight="1" thickBot="1">
      <c r="A391" s="436" t="s">
        <v>261</v>
      </c>
      <c r="B391" s="436"/>
      <c r="C391" s="437"/>
      <c r="D391" s="437"/>
      <c r="E391" s="438"/>
      <c r="F391" s="438"/>
      <c r="G391" s="438"/>
      <c r="H391" s="439"/>
      <c r="I391" s="439"/>
      <c r="J391" s="439"/>
      <c r="K391" s="439"/>
      <c r="L391" s="439"/>
      <c r="M391" s="439"/>
    </row>
    <row r="392" spans="1:13" ht="21" thickBot="1">
      <c r="A392" s="446" t="s">
        <v>262</v>
      </c>
      <c r="B392" s="446"/>
      <c r="C392" s="446"/>
      <c r="D392" s="446"/>
      <c r="E392" s="446"/>
      <c r="F392" s="446"/>
      <c r="G392" s="446"/>
      <c r="H392" s="446"/>
      <c r="I392" s="446"/>
      <c r="J392" s="446"/>
      <c r="K392" s="446"/>
      <c r="L392" s="446"/>
      <c r="M392" s="446"/>
    </row>
    <row r="393" spans="1:13">
      <c r="A393" s="178" t="s">
        <v>263</v>
      </c>
      <c r="B393" s="179"/>
      <c r="C393" s="179"/>
      <c r="D393" s="179"/>
      <c r="E393" s="179"/>
      <c r="F393" s="179"/>
      <c r="G393" s="373" t="s">
        <v>199</v>
      </c>
      <c r="H393" s="373"/>
      <c r="I393" s="373"/>
      <c r="J393" s="373"/>
      <c r="K393" s="373"/>
      <c r="L393" s="447"/>
      <c r="M393" s="447"/>
    </row>
    <row r="394" spans="1:13">
      <c r="A394" s="448"/>
      <c r="B394" s="448"/>
      <c r="C394" s="448"/>
      <c r="D394" s="448"/>
      <c r="E394" s="448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41" t="s">
        <v>264</v>
      </c>
      <c r="B395" s="441"/>
      <c r="C395" s="449"/>
      <c r="D395" s="449"/>
      <c r="E395" s="449"/>
      <c r="F395" s="182"/>
      <c r="G395" s="443" t="s">
        <v>265</v>
      </c>
      <c r="H395" s="443"/>
      <c r="I395" s="443"/>
      <c r="J395" s="443"/>
      <c r="K395" s="443"/>
      <c r="L395" s="444"/>
      <c r="M395" s="444"/>
    </row>
    <row r="396" spans="1:13" ht="9.9499999999999993" customHeight="1">
      <c r="A396" s="440"/>
      <c r="B396" s="440"/>
      <c r="C396" s="440"/>
      <c r="D396" s="440"/>
      <c r="E396" s="440"/>
      <c r="F396" s="440"/>
      <c r="G396" s="440"/>
      <c r="H396" s="440"/>
      <c r="I396" s="440"/>
      <c r="J396" s="440"/>
      <c r="K396" s="440"/>
      <c r="L396" s="440"/>
      <c r="M396" s="440"/>
    </row>
    <row r="397" spans="1:13">
      <c r="A397" s="441" t="s">
        <v>266</v>
      </c>
      <c r="B397" s="441"/>
      <c r="C397" s="442"/>
      <c r="D397" s="442"/>
      <c r="E397" s="442"/>
      <c r="F397" s="182"/>
      <c r="G397" s="443" t="s">
        <v>267</v>
      </c>
      <c r="H397" s="443"/>
      <c r="I397" s="443"/>
      <c r="J397" s="443"/>
      <c r="K397" s="443"/>
      <c r="L397" s="444"/>
      <c r="M397" s="444"/>
    </row>
    <row r="398" spans="1:13" ht="9.9499999999999993" customHeight="1" thickBot="1">
      <c r="A398" s="445"/>
      <c r="B398" s="445"/>
      <c r="C398" s="445"/>
      <c r="D398" s="445"/>
      <c r="E398" s="445"/>
      <c r="F398" s="445"/>
      <c r="G398" s="445"/>
      <c r="H398" s="445"/>
      <c r="I398" s="445"/>
      <c r="J398" s="445"/>
      <c r="K398" s="445"/>
      <c r="L398" s="445"/>
      <c r="M398" s="445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455" t="s">
        <v>146</v>
      </c>
      <c r="B400" s="455"/>
      <c r="C400" s="455"/>
      <c r="D400" s="340" t="s">
        <v>147</v>
      </c>
      <c r="E400" s="340"/>
      <c r="F400" s="340"/>
      <c r="G400" s="340"/>
      <c r="H400" s="340"/>
      <c r="I400" s="340"/>
      <c r="J400" s="340"/>
      <c r="K400" s="340"/>
      <c r="L400" s="340"/>
      <c r="M400" s="340"/>
    </row>
    <row r="401" spans="1:13">
      <c r="A401" s="456" t="s">
        <v>268</v>
      </c>
      <c r="B401" s="456"/>
      <c r="C401" s="456"/>
      <c r="D401" s="457" t="s">
        <v>148</v>
      </c>
      <c r="E401" s="457"/>
      <c r="F401" s="457"/>
      <c r="G401" s="457"/>
      <c r="H401" s="458" t="s">
        <v>269</v>
      </c>
      <c r="I401" s="458"/>
      <c r="J401" s="458"/>
      <c r="K401" s="458"/>
      <c r="L401" s="458"/>
      <c r="M401" s="458"/>
    </row>
    <row r="402" spans="1:13">
      <c r="A402" s="459"/>
      <c r="B402" s="459"/>
      <c r="C402" s="459"/>
      <c r="D402" s="460"/>
      <c r="E402" s="460"/>
      <c r="F402" s="460"/>
      <c r="G402" s="460"/>
      <c r="H402" s="461"/>
      <c r="I402" s="461"/>
      <c r="J402" s="461"/>
      <c r="K402" s="461"/>
      <c r="L402" s="461"/>
      <c r="M402" s="461"/>
    </row>
    <row r="403" spans="1:13">
      <c r="A403" s="183" t="s">
        <v>59</v>
      </c>
      <c r="B403" s="450"/>
      <c r="C403" s="450"/>
      <c r="D403" s="451" t="s">
        <v>270</v>
      </c>
      <c r="E403" s="451"/>
      <c r="F403" s="450"/>
      <c r="G403" s="450"/>
      <c r="H403" s="452" t="s">
        <v>271</v>
      </c>
      <c r="I403" s="452"/>
      <c r="J403" s="452"/>
      <c r="K403" s="452"/>
      <c r="L403" s="452"/>
      <c r="M403" s="452"/>
    </row>
    <row r="404" spans="1:13" ht="13.5" thickBot="1">
      <c r="A404" s="453"/>
      <c r="B404" s="453"/>
      <c r="C404" s="453"/>
      <c r="D404" s="454" t="s">
        <v>156</v>
      </c>
      <c r="E404" s="454"/>
      <c r="F404" s="454"/>
      <c r="G404" s="184"/>
      <c r="H404" s="358"/>
      <c r="I404" s="358"/>
      <c r="J404" s="358"/>
      <c r="K404" s="358"/>
      <c r="L404" s="358"/>
      <c r="M404" s="358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67"/>
      <c r="B407" s="467"/>
      <c r="C407" s="467"/>
      <c r="D407" s="188" t="s">
        <v>163</v>
      </c>
      <c r="E407" s="188"/>
      <c r="F407" s="188" t="s">
        <v>164</v>
      </c>
      <c r="G407" s="468" t="s">
        <v>165</v>
      </c>
      <c r="H407" s="468"/>
      <c r="I407" s="468"/>
      <c r="J407" s="468"/>
      <c r="K407" s="468"/>
      <c r="L407" s="468"/>
      <c r="M407" s="468"/>
    </row>
    <row r="408" spans="1:13" ht="39.75" customHeight="1">
      <c r="A408" s="469" t="s">
        <v>273</v>
      </c>
      <c r="B408" s="469"/>
      <c r="C408" s="469"/>
      <c r="D408" s="96"/>
      <c r="E408" s="96"/>
      <c r="F408" s="96"/>
      <c r="G408" s="350"/>
      <c r="H408" s="350"/>
      <c r="I408" s="350"/>
      <c r="J408" s="350"/>
      <c r="K408" s="350"/>
      <c r="L408" s="350"/>
      <c r="M408" s="350"/>
    </row>
    <row r="409" spans="1:13" ht="42" customHeight="1" thickBot="1">
      <c r="A409" s="470" t="s">
        <v>274</v>
      </c>
      <c r="B409" s="470"/>
      <c r="C409" s="470"/>
      <c r="D409" s="97"/>
      <c r="E409" s="97"/>
      <c r="F409" s="97"/>
      <c r="G409" s="362"/>
      <c r="H409" s="362"/>
      <c r="I409" s="362"/>
      <c r="J409" s="362"/>
      <c r="K409" s="362"/>
      <c r="L409" s="362"/>
      <c r="M409" s="362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462" t="s">
        <v>174</v>
      </c>
      <c r="B411" s="462"/>
      <c r="C411" s="462"/>
      <c r="D411" s="95" t="s">
        <v>163</v>
      </c>
      <c r="E411" s="95"/>
      <c r="F411" s="95" t="s">
        <v>164</v>
      </c>
      <c r="G411" s="347" t="s">
        <v>165</v>
      </c>
      <c r="H411" s="347"/>
      <c r="I411" s="347"/>
      <c r="J411" s="347"/>
      <c r="K411" s="347"/>
      <c r="L411" s="347"/>
      <c r="M411" s="347"/>
    </row>
    <row r="412" spans="1:13" ht="20.25" customHeight="1">
      <c r="A412" s="463" t="s">
        <v>275</v>
      </c>
      <c r="B412" s="463"/>
      <c r="C412" s="463"/>
      <c r="D412" s="189"/>
      <c r="E412" s="189"/>
      <c r="F412" s="189"/>
      <c r="G412" s="464"/>
      <c r="H412" s="464"/>
      <c r="I412" s="464"/>
      <c r="J412" s="464"/>
      <c r="K412" s="464"/>
      <c r="L412" s="464"/>
      <c r="M412" s="464"/>
    </row>
    <row r="413" spans="1:13">
      <c r="A413" s="465" t="s">
        <v>276</v>
      </c>
      <c r="B413" s="465"/>
      <c r="C413" s="465"/>
      <c r="D413" s="190"/>
      <c r="E413" s="190"/>
      <c r="F413" s="190"/>
      <c r="G413" s="466"/>
      <c r="H413" s="466"/>
      <c r="I413" s="466"/>
      <c r="J413" s="466"/>
      <c r="K413" s="466"/>
      <c r="L413" s="466"/>
      <c r="M413" s="466"/>
    </row>
    <row r="414" spans="1:13">
      <c r="A414" s="465" t="s">
        <v>277</v>
      </c>
      <c r="B414" s="465"/>
      <c r="C414" s="465"/>
      <c r="D414" s="190"/>
      <c r="E414" s="190"/>
      <c r="F414" s="190"/>
      <c r="G414" s="466"/>
      <c r="H414" s="466"/>
      <c r="I414" s="466"/>
      <c r="J414" s="466"/>
      <c r="K414" s="466"/>
      <c r="L414" s="466"/>
      <c r="M414" s="466"/>
    </row>
    <row r="415" spans="1:13">
      <c r="A415" s="465" t="s">
        <v>278</v>
      </c>
      <c r="B415" s="465"/>
      <c r="C415" s="465"/>
      <c r="D415" s="190"/>
      <c r="E415" s="190"/>
      <c r="F415" s="190"/>
      <c r="G415" s="466"/>
      <c r="H415" s="466"/>
      <c r="I415" s="466"/>
      <c r="J415" s="466"/>
      <c r="K415" s="466"/>
      <c r="L415" s="466"/>
      <c r="M415" s="466"/>
    </row>
    <row r="416" spans="1:13">
      <c r="A416" s="465" t="s">
        <v>279</v>
      </c>
      <c r="B416" s="465"/>
      <c r="C416" s="465"/>
      <c r="D416" s="190"/>
      <c r="E416" s="190"/>
      <c r="F416" s="190"/>
      <c r="G416" s="466"/>
      <c r="H416" s="466"/>
      <c r="I416" s="466"/>
      <c r="J416" s="466"/>
      <c r="K416" s="466"/>
      <c r="L416" s="466"/>
      <c r="M416" s="466"/>
    </row>
    <row r="417" spans="1:13">
      <c r="A417" s="471" t="s">
        <v>280</v>
      </c>
      <c r="B417" s="471"/>
      <c r="C417" s="471"/>
      <c r="D417" s="191"/>
      <c r="E417" s="191"/>
      <c r="F417" s="191"/>
      <c r="G417" s="472"/>
      <c r="H417" s="472"/>
      <c r="I417" s="472"/>
      <c r="J417" s="472"/>
      <c r="K417" s="472"/>
      <c r="L417" s="472"/>
      <c r="M417" s="472"/>
    </row>
    <row r="418" spans="1:13" ht="33.75" customHeight="1">
      <c r="A418" s="473" t="s">
        <v>281</v>
      </c>
      <c r="B418" s="473"/>
      <c r="C418" s="473"/>
      <c r="D418" s="192"/>
      <c r="E418" s="192"/>
      <c r="F418" s="192"/>
      <c r="G418" s="367"/>
      <c r="H418" s="367"/>
      <c r="I418" s="367"/>
      <c r="J418" s="367"/>
      <c r="K418" s="367"/>
      <c r="L418" s="367"/>
      <c r="M418" s="367"/>
    </row>
    <row r="419" spans="1:13" ht="21" customHeight="1">
      <c r="A419" s="463" t="s">
        <v>282</v>
      </c>
      <c r="B419" s="463"/>
      <c r="C419" s="463"/>
      <c r="D419" s="189"/>
      <c r="E419" s="189"/>
      <c r="F419" s="189"/>
      <c r="G419" s="464"/>
      <c r="H419" s="464"/>
      <c r="I419" s="464"/>
      <c r="J419" s="464"/>
      <c r="K419" s="464"/>
      <c r="L419" s="464"/>
      <c r="M419" s="464"/>
    </row>
    <row r="420" spans="1:13" ht="12.95" customHeight="1">
      <c r="A420" s="474" t="s">
        <v>283</v>
      </c>
      <c r="B420" s="474"/>
      <c r="C420" s="474"/>
      <c r="D420" s="190"/>
      <c r="E420" s="190"/>
      <c r="F420" s="190"/>
      <c r="G420" s="466"/>
      <c r="H420" s="466"/>
      <c r="I420" s="466"/>
      <c r="J420" s="466"/>
      <c r="K420" s="466"/>
      <c r="L420" s="466"/>
      <c r="M420" s="466"/>
    </row>
    <row r="421" spans="1:13" ht="12.95" customHeight="1">
      <c r="A421" s="474" t="s">
        <v>284</v>
      </c>
      <c r="B421" s="474"/>
      <c r="C421" s="474"/>
      <c r="D421" s="190"/>
      <c r="E421" s="190"/>
      <c r="F421" s="190"/>
      <c r="G421" s="466"/>
      <c r="H421" s="466"/>
      <c r="I421" s="466"/>
      <c r="J421" s="466"/>
      <c r="K421" s="466"/>
      <c r="L421" s="466"/>
      <c r="M421" s="466"/>
    </row>
    <row r="422" spans="1:13" ht="22.5" customHeight="1">
      <c r="A422" s="474" t="s">
        <v>285</v>
      </c>
      <c r="B422" s="474"/>
      <c r="C422" s="474"/>
      <c r="D422" s="190"/>
      <c r="E422" s="190"/>
      <c r="F422" s="190"/>
      <c r="G422" s="466"/>
      <c r="H422" s="466"/>
      <c r="I422" s="466"/>
      <c r="J422" s="466"/>
      <c r="K422" s="466"/>
      <c r="L422" s="466"/>
      <c r="M422" s="466"/>
    </row>
    <row r="423" spans="1:13" ht="20.25" customHeight="1">
      <c r="A423" s="474" t="s">
        <v>286</v>
      </c>
      <c r="B423" s="474"/>
      <c r="C423" s="474"/>
      <c r="D423" s="190"/>
      <c r="E423" s="190"/>
      <c r="F423" s="190"/>
      <c r="G423" s="466"/>
      <c r="H423" s="466"/>
      <c r="I423" s="466"/>
      <c r="J423" s="466"/>
      <c r="K423" s="466"/>
      <c r="L423" s="466"/>
      <c r="M423" s="466"/>
    </row>
    <row r="424" spans="1:13" ht="12.95" customHeight="1">
      <c r="A424" s="475" t="s">
        <v>287</v>
      </c>
      <c r="B424" s="475"/>
      <c r="C424" s="475"/>
      <c r="D424" s="191"/>
      <c r="E424" s="191"/>
      <c r="F424" s="191"/>
      <c r="G424" s="472"/>
      <c r="H424" s="472"/>
      <c r="I424" s="472"/>
      <c r="J424" s="472"/>
      <c r="K424" s="472"/>
      <c r="L424" s="472"/>
      <c r="M424" s="472"/>
    </row>
    <row r="425" spans="1:13" ht="12.95" customHeight="1">
      <c r="A425" s="463" t="s">
        <v>288</v>
      </c>
      <c r="B425" s="463"/>
      <c r="C425" s="463"/>
      <c r="D425" s="189"/>
      <c r="E425" s="189"/>
      <c r="F425" s="189"/>
      <c r="G425" s="464"/>
      <c r="H425" s="464"/>
      <c r="I425" s="464"/>
      <c r="J425" s="464"/>
      <c r="K425" s="464"/>
      <c r="L425" s="464"/>
      <c r="M425" s="464"/>
    </row>
    <row r="426" spans="1:13" ht="12.95" customHeight="1">
      <c r="A426" s="475" t="s">
        <v>289</v>
      </c>
      <c r="B426" s="475"/>
      <c r="C426" s="475"/>
      <c r="D426" s="191"/>
      <c r="E426" s="191"/>
      <c r="F426" s="191"/>
      <c r="G426" s="472"/>
      <c r="H426" s="472"/>
      <c r="I426" s="472"/>
      <c r="J426" s="472"/>
      <c r="K426" s="472"/>
      <c r="L426" s="472"/>
      <c r="M426" s="472"/>
    </row>
    <row r="427" spans="1:13" ht="12.95" customHeight="1">
      <c r="A427" s="478" t="s">
        <v>290</v>
      </c>
      <c r="B427" s="478"/>
      <c r="C427" s="478"/>
      <c r="D427" s="190"/>
      <c r="E427" s="190"/>
      <c r="F427" s="190"/>
      <c r="G427" s="466"/>
      <c r="H427" s="466"/>
      <c r="I427" s="466"/>
      <c r="J427" s="466"/>
      <c r="K427" s="466"/>
      <c r="L427" s="466"/>
      <c r="M427" s="466"/>
    </row>
    <row r="428" spans="1:13" ht="12.95" customHeight="1">
      <c r="A428" s="474" t="s">
        <v>291</v>
      </c>
      <c r="B428" s="474"/>
      <c r="C428" s="474"/>
      <c r="D428" s="190"/>
      <c r="E428" s="190"/>
      <c r="F428" s="190"/>
      <c r="G428" s="466"/>
      <c r="H428" s="466"/>
      <c r="I428" s="466"/>
      <c r="J428" s="466"/>
      <c r="K428" s="466"/>
      <c r="L428" s="466"/>
      <c r="M428" s="466"/>
    </row>
    <row r="429" spans="1:13" ht="13.5" thickBot="1">
      <c r="A429" s="476" t="s">
        <v>292</v>
      </c>
      <c r="B429" s="476"/>
      <c r="C429" s="476"/>
      <c r="D429" s="193"/>
      <c r="E429" s="193"/>
      <c r="F429" s="193"/>
      <c r="G429" s="477"/>
      <c r="H429" s="477"/>
      <c r="I429" s="477"/>
      <c r="J429" s="477"/>
      <c r="K429" s="477"/>
      <c r="L429" s="477"/>
      <c r="M429" s="477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70" t="s">
        <v>182</v>
      </c>
      <c r="B431" s="370"/>
      <c r="C431" s="370"/>
      <c r="D431" s="370"/>
      <c r="E431" s="370"/>
      <c r="F431" s="370"/>
      <c r="G431" s="371" t="s">
        <v>183</v>
      </c>
      <c r="H431" s="371"/>
      <c r="I431" s="371"/>
      <c r="J431" s="371"/>
      <c r="K431" s="371"/>
      <c r="L431" s="371"/>
      <c r="M431" s="371"/>
    </row>
    <row r="432" spans="1:13" ht="13.5" thickBot="1">
      <c r="A432" s="372"/>
      <c r="B432" s="372"/>
      <c r="C432" s="372"/>
      <c r="D432" s="372"/>
      <c r="E432" s="372"/>
      <c r="F432" s="372"/>
      <c r="G432" s="362"/>
      <c r="H432" s="362"/>
      <c r="I432" s="362"/>
      <c r="J432" s="362"/>
      <c r="K432" s="362"/>
      <c r="L432" s="362"/>
      <c r="M432" s="362"/>
    </row>
    <row r="433" spans="1:13" ht="13.5" thickBot="1">
      <c r="A433" s="372"/>
      <c r="B433" s="372"/>
      <c r="C433" s="372"/>
      <c r="D433" s="372"/>
      <c r="E433" s="372"/>
      <c r="F433" s="372"/>
      <c r="G433" s="362"/>
      <c r="H433" s="362"/>
      <c r="I433" s="362"/>
      <c r="J433" s="362"/>
      <c r="K433" s="362"/>
      <c r="L433" s="362"/>
      <c r="M433" s="362"/>
    </row>
    <row r="434" spans="1:13">
      <c r="A434" s="373" t="s">
        <v>184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</row>
    <row r="435" spans="1:13">
      <c r="A435" s="443" t="s">
        <v>293</v>
      </c>
      <c r="B435" s="443"/>
      <c r="C435" s="443"/>
      <c r="D435" s="443"/>
      <c r="E435" s="443"/>
      <c r="F435" s="443"/>
      <c r="G435" s="443"/>
      <c r="H435" s="443"/>
      <c r="I435" s="443"/>
      <c r="J435" s="443"/>
      <c r="K435" s="443"/>
      <c r="L435" s="443"/>
      <c r="M435" s="443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75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491"/>
      <c r="L13" s="491"/>
      <c r="M13" s="491"/>
      <c r="N13" s="49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  <c r="O14" s="206"/>
      <c r="P14" s="206"/>
      <c r="Q14" s="206"/>
      <c r="R14" s="206"/>
      <c r="S14" s="206"/>
    </row>
    <row r="15" spans="1:19" ht="23.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456</v>
      </c>
      <c r="F18" s="13"/>
      <c r="G18" s="13"/>
      <c r="H18" s="13"/>
      <c r="I18" s="13"/>
      <c r="J18" s="13"/>
      <c r="K18" s="13"/>
      <c r="L18" s="264"/>
      <c r="M18" s="500"/>
      <c r="N18" s="501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0.57999999999999996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462</v>
      </c>
      <c r="D40" s="547"/>
      <c r="E40" s="238"/>
      <c r="F40" s="496">
        <v>0.51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496"/>
      <c r="G41" s="497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465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466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455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66" t="s">
        <v>463</v>
      </c>
      <c r="D51" s="204"/>
      <c r="E51" s="204"/>
      <c r="F51" s="204"/>
      <c r="G51" s="204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3" t="s">
        <v>464</v>
      </c>
      <c r="D52" s="524"/>
      <c r="E52" s="524"/>
      <c r="F52" s="524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454</v>
      </c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  <mergeCell ref="L1:M1"/>
    <mergeCell ref="A1:C2"/>
    <mergeCell ref="D1:K1"/>
    <mergeCell ref="K2:N2"/>
    <mergeCell ref="D2:E2"/>
    <mergeCell ref="F2:J2"/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369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40"/>
      <c r="F39" s="550"/>
      <c r="G39" s="539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40"/>
      <c r="F40" s="548"/>
      <c r="G40" s="549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548"/>
      <c r="G41" s="54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496">
        <f>F33</f>
        <v>0</v>
      </c>
      <c r="G41" s="53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530" t="s">
        <v>2</v>
      </c>
      <c r="B4" s="531"/>
      <c r="C4" s="531"/>
      <c r="D4" s="531"/>
      <c r="E4" s="531"/>
      <c r="F4" s="531"/>
      <c r="G4" s="531"/>
      <c r="H4" s="531"/>
      <c r="I4" s="531"/>
      <c r="J4" s="531"/>
      <c r="K4" s="531"/>
      <c r="L4" s="531"/>
      <c r="M4" s="531"/>
      <c r="N4" s="532"/>
    </row>
    <row r="5" spans="1:19" ht="15.95" customHeight="1">
      <c r="A5" s="483" t="s">
        <v>6</v>
      </c>
      <c r="B5" s="484"/>
      <c r="C5" s="484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551"/>
      <c r="D51" s="551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497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3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L11:N11"/>
    <mergeCell ref="C52:F52"/>
    <mergeCell ref="I51:K51"/>
    <mergeCell ref="M18:N18"/>
    <mergeCell ref="C41:D41"/>
    <mergeCell ref="F40:G4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5:N15"/>
    <mergeCell ref="M16:N1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550"/>
      <c r="G39" s="539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38">
        <f>F32</f>
        <v>0</v>
      </c>
      <c r="F40" s="496">
        <f>F33</f>
        <v>0</v>
      </c>
      <c r="G40" s="539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550"/>
      <c r="G41" s="539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24"/>
      <c r="D52" s="524"/>
      <c r="E52" s="524"/>
      <c r="F52" s="524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39:D39"/>
    <mergeCell ref="L11:N11"/>
    <mergeCell ref="C40:D40"/>
    <mergeCell ref="C41:D41"/>
    <mergeCell ref="I20:N20"/>
    <mergeCell ref="A7:C11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6:N16"/>
    <mergeCell ref="M17:N17"/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379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389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399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407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408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409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410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411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412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413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414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415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2"/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6"/>
      <c r="B1" s="507"/>
      <c r="C1" s="508"/>
      <c r="D1" s="512" t="s">
        <v>73</v>
      </c>
      <c r="E1" s="513"/>
      <c r="F1" s="513"/>
      <c r="G1" s="513"/>
      <c r="H1" s="513"/>
      <c r="I1" s="513"/>
      <c r="J1" s="513"/>
      <c r="K1" s="514"/>
      <c r="L1" s="504" t="s">
        <v>460</v>
      </c>
      <c r="M1" s="505"/>
      <c r="N1" s="51" t="s">
        <v>416</v>
      </c>
    </row>
    <row r="2" spans="1:19" ht="26.25" customHeight="1" thickBot="1">
      <c r="A2" s="509"/>
      <c r="B2" s="510"/>
      <c r="C2" s="511"/>
      <c r="D2" s="518" t="s">
        <v>0</v>
      </c>
      <c r="E2" s="519"/>
      <c r="F2" s="520" t="s">
        <v>1</v>
      </c>
      <c r="G2" s="521"/>
      <c r="H2" s="521"/>
      <c r="I2" s="521"/>
      <c r="J2" s="522"/>
      <c r="K2" s="515" t="s">
        <v>422</v>
      </c>
      <c r="L2" s="516"/>
      <c r="M2" s="516"/>
      <c r="N2" s="517"/>
    </row>
    <row r="3" spans="1:19" ht="5.25" customHeight="1" thickBot="1">
      <c r="A3" s="1"/>
      <c r="B3" s="1"/>
      <c r="C3" s="1"/>
      <c r="D3" s="1"/>
    </row>
    <row r="4" spans="1:19" ht="15">
      <c r="A4" s="490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481" t="s">
        <v>6</v>
      </c>
      <c r="B5" s="482"/>
      <c r="C5" s="482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494"/>
      <c r="B6" s="495"/>
      <c r="C6" s="495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481" t="s">
        <v>21</v>
      </c>
      <c r="B7" s="482"/>
      <c r="C7" s="482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83"/>
      <c r="B8" s="484"/>
      <c r="C8" s="484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483"/>
      <c r="B9" s="484"/>
      <c r="C9" s="484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483"/>
      <c r="B10" s="484"/>
      <c r="C10" s="484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485"/>
      <c r="B11" s="486"/>
      <c r="C11" s="486"/>
      <c r="D11" s="12" t="s">
        <v>22</v>
      </c>
      <c r="E11" s="250" t="s">
        <v>448</v>
      </c>
      <c r="F11" s="13"/>
      <c r="G11" s="13"/>
      <c r="H11" s="13"/>
      <c r="I11" s="13"/>
      <c r="J11" s="12" t="s">
        <v>447</v>
      </c>
      <c r="K11" s="14"/>
      <c r="L11" s="502" t="s">
        <v>461</v>
      </c>
      <c r="M11" s="502"/>
      <c r="N11" s="503"/>
    </row>
    <row r="12" spans="1:19" ht="6" customHeight="1" thickBot="1"/>
    <row r="13" spans="1:19" ht="15">
      <c r="A13" s="530" t="s">
        <v>23</v>
      </c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2"/>
    </row>
    <row r="14" spans="1:19" ht="24" customHeight="1">
      <c r="A14" s="30"/>
      <c r="B14" s="493" t="s">
        <v>74</v>
      </c>
      <c r="C14" s="493"/>
      <c r="D14" s="493"/>
      <c r="E14" s="245" t="s">
        <v>452</v>
      </c>
      <c r="F14" s="210"/>
      <c r="G14" s="210"/>
      <c r="H14" s="210"/>
      <c r="I14" s="210"/>
      <c r="J14" s="210"/>
      <c r="K14" s="536"/>
      <c r="L14" s="536"/>
      <c r="M14" s="536"/>
      <c r="N14" s="537"/>
    </row>
    <row r="15" spans="1:19" ht="20.100000000000001" customHeight="1">
      <c r="A15" s="542" t="s">
        <v>421</v>
      </c>
      <c r="B15" s="543"/>
      <c r="C15" s="543"/>
      <c r="D15" s="543"/>
      <c r="E15" s="543"/>
      <c r="F15" s="543"/>
      <c r="G15" s="543"/>
      <c r="H15" s="543"/>
      <c r="I15" s="543"/>
      <c r="J15" s="543"/>
      <c r="K15" s="6"/>
      <c r="L15" s="263"/>
      <c r="M15" s="498"/>
      <c r="N15" s="499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41" t="s">
        <v>451</v>
      </c>
      <c r="D16" s="541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498"/>
      <c r="N16" s="499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498"/>
      <c r="N17" s="499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00"/>
      <c r="N18" s="501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487" t="s">
        <v>25</v>
      </c>
      <c r="B20" s="488"/>
      <c r="C20" s="488"/>
      <c r="D20" s="488"/>
      <c r="E20" s="488"/>
      <c r="F20" s="488"/>
      <c r="G20" s="488"/>
      <c r="H20" s="489"/>
      <c r="I20" s="488" t="s">
        <v>26</v>
      </c>
      <c r="J20" s="488"/>
      <c r="K20" s="488"/>
      <c r="L20" s="488"/>
      <c r="M20" s="488"/>
      <c r="N20" s="540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538" t="s">
        <v>57</v>
      </c>
      <c r="D38" s="539"/>
      <c r="E38" s="27" t="s">
        <v>71</v>
      </c>
      <c r="F38" s="544" t="s">
        <v>58</v>
      </c>
      <c r="G38" s="545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46" t="s">
        <v>449</v>
      </c>
      <c r="D39" s="547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46" t="s">
        <v>436</v>
      </c>
      <c r="D40" s="547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450</v>
      </c>
      <c r="C41" s="479"/>
      <c r="D41" s="480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530" t="s">
        <v>66</v>
      </c>
      <c r="B50" s="531"/>
      <c r="C50" s="531"/>
      <c r="D50" s="531"/>
      <c r="E50" s="531"/>
      <c r="F50" s="531"/>
      <c r="G50" s="39"/>
      <c r="H50" s="46"/>
      <c r="I50" s="531" t="s">
        <v>67</v>
      </c>
      <c r="J50" s="531"/>
      <c r="K50" s="531"/>
      <c r="L50" s="531"/>
      <c r="M50" s="531"/>
      <c r="N50" s="532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525" t="s">
        <v>68</v>
      </c>
      <c r="J51" s="525"/>
      <c r="K51" s="526"/>
      <c r="L51" s="533" t="s">
        <v>64</v>
      </c>
      <c r="M51" s="534"/>
      <c r="N51" s="535"/>
    </row>
    <row r="52" spans="1:14" ht="15.95" customHeight="1">
      <c r="A52" s="30"/>
      <c r="B52" s="207" t="s">
        <v>69</v>
      </c>
      <c r="C52" s="553" t="s">
        <v>453</v>
      </c>
      <c r="D52" s="552"/>
      <c r="E52" s="552"/>
      <c r="F52" s="552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527" t="s">
        <v>70</v>
      </c>
      <c r="J53" s="528"/>
      <c r="K53" s="529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Formateurs FF</cp:lastModifiedBy>
  <cp:lastPrinted>2010-12-13T14:55:50Z</cp:lastPrinted>
  <dcterms:created xsi:type="dcterms:W3CDTF">2010-07-07T09:27:51Z</dcterms:created>
  <dcterms:modified xsi:type="dcterms:W3CDTF">2010-12-13T14:58:02Z</dcterms:modified>
</cp:coreProperties>
</file>